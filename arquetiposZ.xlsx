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Sergius\Desktop\Proyectos\hyperbole\"/>
    </mc:Choice>
  </mc:AlternateContent>
  <xr:revisionPtr revIDLastSave="0" documentId="13_ncr:1_{84D255F0-A026-454D-9E30-3ACD96D9B4BA}" xr6:coauthVersionLast="36" xr6:coauthVersionMax="36" xr10:uidLastSave="{00000000-0000-0000-0000-000000000000}"/>
  <bookViews>
    <workbookView xWindow="-120" yWindow="-120" windowWidth="29040" windowHeight="15720" tabRatio="644" activeTab="1" xr2:uid="{00000000-000D-0000-FFFF-FFFF00000000}"/>
  </bookViews>
  <sheets>
    <sheet name="RESUMEN" sheetId="1" r:id="rId1"/>
    <sheet name="BONUS" sheetId="15" r:id="rId2"/>
    <sheet name="ARMAS" sheetId="13" r:id="rId3"/>
    <sheet name="NOTAS" sheetId="14" r:id="rId4"/>
    <sheet name="mago" sheetId="2" r:id="rId5"/>
    <sheet name="brujo" sheetId="3" r:id="rId6"/>
    <sheet name="sanador" sheetId="4" r:id="rId7"/>
    <sheet name="ladrón" sheetId="6" r:id="rId8"/>
    <sheet name="guerrero" sheetId="5" r:id="rId9"/>
    <sheet name="luchador" sheetId="8" r:id="rId10"/>
    <sheet name="paladín" sheetId="9" r:id="rId11"/>
    <sheet name="druida" sheetId="10" r:id="rId12"/>
    <sheet name="capitán" sheetId="7" r:id="rId13"/>
    <sheet name="artista" sheetId="11" r:id="rId14"/>
    <sheet name="explorador" sheetId="12" r:id="rId1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" i="15" l="1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6" i="15"/>
  <c r="AA27" i="15"/>
  <c r="AA28" i="15"/>
  <c r="AA29" i="15"/>
  <c r="AA30" i="15"/>
  <c r="AA31" i="15"/>
  <c r="AA32" i="15"/>
  <c r="AA33" i="15"/>
  <c r="AA5" i="15"/>
  <c r="AA34" i="15"/>
  <c r="AA6" i="15"/>
  <c r="X31" i="15"/>
  <c r="X28" i="15"/>
  <c r="X26" i="15"/>
  <c r="X23" i="15"/>
  <c r="X20" i="15"/>
  <c r="X18" i="15"/>
  <c r="X14" i="15"/>
  <c r="X12" i="15"/>
  <c r="X10" i="15"/>
  <c r="X8" i="15"/>
  <c r="X32" i="15"/>
  <c r="X9" i="15"/>
  <c r="X11" i="15"/>
  <c r="X13" i="15"/>
  <c r="X15" i="15"/>
  <c r="X16" i="15"/>
  <c r="X17" i="15"/>
  <c r="X19" i="15"/>
  <c r="X21" i="15"/>
  <c r="X22" i="15"/>
  <c r="X24" i="15"/>
  <c r="X25" i="15"/>
  <c r="X27" i="15"/>
  <c r="X29" i="15"/>
  <c r="X30" i="15"/>
  <c r="X7" i="15"/>
  <c r="X6" i="15"/>
  <c r="X5" i="15"/>
</calcChain>
</file>

<file path=xl/sharedStrings.xml><?xml version="1.0" encoding="utf-8"?>
<sst xmlns="http://schemas.openxmlformats.org/spreadsheetml/2006/main" count="1212" uniqueCount="818">
  <si>
    <t>daños:</t>
  </si>
  <si>
    <t>cont</t>
  </si>
  <si>
    <t>cort</t>
  </si>
  <si>
    <t>perf</t>
  </si>
  <si>
    <t>fuego</t>
  </si>
  <si>
    <t>hielo</t>
  </si>
  <si>
    <t>trueno</t>
  </si>
  <si>
    <t>viento</t>
  </si>
  <si>
    <t>psiquico</t>
  </si>
  <si>
    <t>luz</t>
  </si>
  <si>
    <t>oscuridad</t>
  </si>
  <si>
    <t>clase</t>
  </si>
  <si>
    <t>mago</t>
  </si>
  <si>
    <t>brujo</t>
  </si>
  <si>
    <t>archimago</t>
  </si>
  <si>
    <t>hechicero</t>
  </si>
  <si>
    <t>piromante</t>
  </si>
  <si>
    <t>gelomante</t>
  </si>
  <si>
    <t>electromante</t>
  </si>
  <si>
    <t>aeromante</t>
  </si>
  <si>
    <t>nucleomante</t>
  </si>
  <si>
    <t>psicomante</t>
  </si>
  <si>
    <t>chamán</t>
  </si>
  <si>
    <t>druida</t>
  </si>
  <si>
    <t>clérigo</t>
  </si>
  <si>
    <t>sanador</t>
  </si>
  <si>
    <t>sabio</t>
  </si>
  <si>
    <t>hereje</t>
  </si>
  <si>
    <t>ladrón</t>
  </si>
  <si>
    <t>asesino</t>
  </si>
  <si>
    <t>ninja</t>
  </si>
  <si>
    <t>maestro samurai</t>
  </si>
  <si>
    <t>samurai</t>
  </si>
  <si>
    <t>luchador</t>
  </si>
  <si>
    <t>monje</t>
  </si>
  <si>
    <t>guerrero</t>
  </si>
  <si>
    <t>pistolero</t>
  </si>
  <si>
    <t>francotirador</t>
  </si>
  <si>
    <t>paladín</t>
  </si>
  <si>
    <t>caballero</t>
  </si>
  <si>
    <t>jinete</t>
  </si>
  <si>
    <t>escudero</t>
  </si>
  <si>
    <t>invocador</t>
  </si>
  <si>
    <t>espiritista</t>
  </si>
  <si>
    <t>necromante</t>
  </si>
  <si>
    <t>científico</t>
  </si>
  <si>
    <t>astromante</t>
  </si>
  <si>
    <t>cronomante</t>
  </si>
  <si>
    <t>valkiria</t>
  </si>
  <si>
    <t>paladin funesto</t>
  </si>
  <si>
    <t>guardián</t>
  </si>
  <si>
    <t>general</t>
  </si>
  <si>
    <t>capitán</t>
  </si>
  <si>
    <t>comandante</t>
  </si>
  <si>
    <t>bardo</t>
  </si>
  <si>
    <t>bailarín</t>
  </si>
  <si>
    <t>bárbaro</t>
  </si>
  <si>
    <t>berserker</t>
  </si>
  <si>
    <t>boticario</t>
  </si>
  <si>
    <t>superviviente</t>
  </si>
  <si>
    <t>artista</t>
  </si>
  <si>
    <t>cazador</t>
  </si>
  <si>
    <t>púgil</t>
  </si>
  <si>
    <t>bufón</t>
  </si>
  <si>
    <t>explorador</t>
  </si>
  <si>
    <t>mercader</t>
  </si>
  <si>
    <t>magnate</t>
  </si>
  <si>
    <t>agi</t>
  </si>
  <si>
    <t>bufu</t>
  </si>
  <si>
    <t>zio</t>
  </si>
  <si>
    <t>garu</t>
  </si>
  <si>
    <t>aum. debilidad</t>
  </si>
  <si>
    <t>maragi</t>
  </si>
  <si>
    <t>mabufu</t>
  </si>
  <si>
    <t>mazio</t>
  </si>
  <si>
    <t>magaru</t>
  </si>
  <si>
    <t>agilao</t>
  </si>
  <si>
    <t>bufula</t>
  </si>
  <si>
    <t>aum. Fuego</t>
  </si>
  <si>
    <t>aum. Hielo</t>
  </si>
  <si>
    <t>mabufula</t>
  </si>
  <si>
    <t>agidyne</t>
  </si>
  <si>
    <t>bufudyne</t>
  </si>
  <si>
    <t>zionga</t>
  </si>
  <si>
    <t>garula</t>
  </si>
  <si>
    <t>aum. Trueno</t>
  </si>
  <si>
    <t>aum. Viento</t>
  </si>
  <si>
    <t>mazionga</t>
  </si>
  <si>
    <t>magarula</t>
  </si>
  <si>
    <t>ziodyne</t>
  </si>
  <si>
    <t>garudyne</t>
  </si>
  <si>
    <t>maragidyne</t>
  </si>
  <si>
    <t>aum mucho fuego</t>
  </si>
  <si>
    <t>resistir fuego</t>
  </si>
  <si>
    <t>agibarion</t>
  </si>
  <si>
    <t>aum quemadura</t>
  </si>
  <si>
    <t>aum cong</t>
  </si>
  <si>
    <t>aum paralisis</t>
  </si>
  <si>
    <t>maragibarion</t>
  </si>
  <si>
    <t>romper res fuego</t>
  </si>
  <si>
    <t>meteoro</t>
  </si>
  <si>
    <t>cientifico</t>
  </si>
  <si>
    <t>hamaon</t>
  </si>
  <si>
    <t>mamudoon</t>
  </si>
  <si>
    <t>mahamaon</t>
  </si>
  <si>
    <t>samsara</t>
  </si>
  <si>
    <t>mudo boost</t>
  </si>
  <si>
    <t>hama boost</t>
  </si>
  <si>
    <t>die for me</t>
  </si>
  <si>
    <t>time stop</t>
  </si>
  <si>
    <t>rewind</t>
  </si>
  <si>
    <t>teleport</t>
  </si>
  <si>
    <t>slowdyne</t>
  </si>
  <si>
    <t>pleiyades</t>
  </si>
  <si>
    <t>cassiopeia</t>
  </si>
  <si>
    <t>singularity</t>
  </si>
  <si>
    <t>mediarahan</t>
  </si>
  <si>
    <t>me patra</t>
  </si>
  <si>
    <t>amrita shower</t>
  </si>
  <si>
    <t>salvation</t>
  </si>
  <si>
    <t>kougaon</t>
  </si>
  <si>
    <t>eigaon</t>
  </si>
  <si>
    <t>cortante</t>
  </si>
  <si>
    <t>contundente</t>
  </si>
  <si>
    <t>perforante</t>
  </si>
  <si>
    <t>tonfas, cañas, nunchakus, sigilo, engaño</t>
  </si>
  <si>
    <t>grimorio</t>
  </si>
  <si>
    <t>bastón</t>
  </si>
  <si>
    <t>hacha</t>
  </si>
  <si>
    <t>maza</t>
  </si>
  <si>
    <t>puño</t>
  </si>
  <si>
    <t>espada</t>
  </si>
  <si>
    <t>arco</t>
  </si>
  <si>
    <t>katana</t>
  </si>
  <si>
    <t>daga</t>
  </si>
  <si>
    <t>lanza</t>
  </si>
  <si>
    <t>florete</t>
  </si>
  <si>
    <t>daga, katana</t>
  </si>
  <si>
    <t>espada, maza, arco</t>
  </si>
  <si>
    <t>espada, katana</t>
  </si>
  <si>
    <t>escudo</t>
  </si>
  <si>
    <t>lanza, hacha, escudo</t>
  </si>
  <si>
    <t>lanza, espada</t>
  </si>
  <si>
    <t>grimorio, bastón, daga</t>
  </si>
  <si>
    <t>grimorio, bastón, daga, florete</t>
  </si>
  <si>
    <t>grimorio, daga</t>
  </si>
  <si>
    <t>protecciones de elementos, de muerte, de ataques, a otro y a todos</t>
  </si>
  <si>
    <t>ataques fisicos de elementos</t>
  </si>
  <si>
    <t>cambiar formacion, bufos a todos, romper resistencias y protecciones</t>
  </si>
  <si>
    <t>boost defensa, reduccion de daño, ataques que dependen de def</t>
  </si>
  <si>
    <t>maestro del fuego</t>
  </si>
  <si>
    <t>maestro del hielo</t>
  </si>
  <si>
    <t>maestro del trueno</t>
  </si>
  <si>
    <t>maestro del viento</t>
  </si>
  <si>
    <t>samarecarm</t>
  </si>
  <si>
    <t>omnimante</t>
  </si>
  <si>
    <t>martillo</t>
  </si>
  <si>
    <t>hacha, martillo, escudo</t>
  </si>
  <si>
    <t>hacha, martillo, florete, escudo</t>
  </si>
  <si>
    <t>maza, martillo</t>
  </si>
  <si>
    <t>ballesta</t>
  </si>
  <si>
    <t>arco, ballesta</t>
  </si>
  <si>
    <t>daga, katana, florete, grimorio</t>
  </si>
  <si>
    <t>lanza, espada, bastón</t>
  </si>
  <si>
    <t>ataques todopoderosos o de varios elementos a la vez</t>
  </si>
  <si>
    <t>grimorio, bastón</t>
  </si>
  <si>
    <t>aum mareo</t>
  </si>
  <si>
    <t>frei</t>
  </si>
  <si>
    <t>psi</t>
  </si>
  <si>
    <t>mafrei</t>
  </si>
  <si>
    <t>mapsi</t>
  </si>
  <si>
    <t>life drain</t>
  </si>
  <si>
    <t>freila</t>
  </si>
  <si>
    <t>psio</t>
  </si>
  <si>
    <t>aum. Psico</t>
  </si>
  <si>
    <t>aum. Nuke</t>
  </si>
  <si>
    <t>mafreila</t>
  </si>
  <si>
    <t>mapsio</t>
  </si>
  <si>
    <t>megido</t>
  </si>
  <si>
    <t>freidyne</t>
  </si>
  <si>
    <t>mafreidyne</t>
  </si>
  <si>
    <t>resistir nuke</t>
  </si>
  <si>
    <t>freibarion</t>
  </si>
  <si>
    <t>mafreibarion</t>
  </si>
  <si>
    <t>romper res nuke</t>
  </si>
  <si>
    <t>iceberg</t>
  </si>
  <si>
    <t>no se acumulan</t>
  </si>
  <si>
    <t>meteoro sube la debilidad a fuego un tier (drain y repel a null, null a resist, resist a normal, normal a debilidad) un turno y aumenta probabilidad de recibir quemaduras de los enemigos a los que alcance</t>
  </si>
  <si>
    <t>huracán</t>
  </si>
  <si>
    <t>sobrecarga</t>
  </si>
  <si>
    <t>electrotela</t>
  </si>
  <si>
    <t>clases tier 1: 15 niveles, clases tier 2: 20 niveles, clases tier 3: 25 niveles, clases especiales de personajes: 10 niveles (largos)</t>
  </si>
  <si>
    <t>mind control</t>
  </si>
  <si>
    <t>psiodyne</t>
  </si>
  <si>
    <t>mapsiodyne</t>
  </si>
  <si>
    <t>resistir psico</t>
  </si>
  <si>
    <t>psiobarion</t>
  </si>
  <si>
    <t>mapsiobarion</t>
  </si>
  <si>
    <t>romper res psico</t>
  </si>
  <si>
    <t>megidolaon</t>
  </si>
  <si>
    <t>gidola</t>
  </si>
  <si>
    <t>megidola</t>
  </si>
  <si>
    <t>agibufudyne</t>
  </si>
  <si>
    <t>ziogarudyne</t>
  </si>
  <si>
    <t>freipsiodyne</t>
  </si>
  <si>
    <t>omniburst</t>
  </si>
  <si>
    <t>kouha</t>
  </si>
  <si>
    <t>dia</t>
  </si>
  <si>
    <t>evadir fuego</t>
  </si>
  <si>
    <t>evadir nuke</t>
  </si>
  <si>
    <t>evadir psico</t>
  </si>
  <si>
    <t>mabufudyne</t>
  </si>
  <si>
    <t>maziodyne</t>
  </si>
  <si>
    <t>magarudyne</t>
  </si>
  <si>
    <t>aum mucho hielo</t>
  </si>
  <si>
    <t>aum mucho elec</t>
  </si>
  <si>
    <t>aum mucho viento</t>
  </si>
  <si>
    <t>evadir hielo</t>
  </si>
  <si>
    <t>evadir elec</t>
  </si>
  <si>
    <t>evadir viento</t>
  </si>
  <si>
    <t>bufubarion</t>
  </si>
  <si>
    <t>ziobarion</t>
  </si>
  <si>
    <t>garubarion</t>
  </si>
  <si>
    <t>mabufubarion</t>
  </si>
  <si>
    <t>maziobraion</t>
  </si>
  <si>
    <t>romper res elec</t>
  </si>
  <si>
    <t>romper res viento</t>
  </si>
  <si>
    <t>romper res hielo</t>
  </si>
  <si>
    <t>resistir hielo</t>
  </si>
  <si>
    <t>resistir elec</t>
  </si>
  <si>
    <t>resistir viento</t>
  </si>
  <si>
    <t>media</t>
  </si>
  <si>
    <t>patra</t>
  </si>
  <si>
    <t>baisudi</t>
  </si>
  <si>
    <t>diarama</t>
  </si>
  <si>
    <t>hama</t>
  </si>
  <si>
    <t>mediarama</t>
  </si>
  <si>
    <t>mabaisudi</t>
  </si>
  <si>
    <t>kouga</t>
  </si>
  <si>
    <t>mahama</t>
  </si>
  <si>
    <t>recarm</t>
  </si>
  <si>
    <t>diarahan</t>
  </si>
  <si>
    <t>makouga</t>
  </si>
  <si>
    <t>ahorrar pm curacion</t>
  </si>
  <si>
    <t>lluvia de amrita</t>
  </si>
  <si>
    <t>makougaon</t>
  </si>
  <si>
    <t>evadir luz</t>
  </si>
  <si>
    <t>resistir luz</t>
  </si>
  <si>
    <t>sacromante</t>
  </si>
  <si>
    <t>umbromante</t>
  </si>
  <si>
    <t>maestro de la luz</t>
  </si>
  <si>
    <t>maestro de la oscuridad</t>
  </si>
  <si>
    <t>aum daño luz</t>
  </si>
  <si>
    <t>divine judgement</t>
  </si>
  <si>
    <t>shining arrows</t>
  </si>
  <si>
    <t>diarahan y mediarahan no recuperan toda la vida, salvation si</t>
  </si>
  <si>
    <t>ahorrar pm resuc</t>
  </si>
  <si>
    <t>enduring soul</t>
  </si>
  <si>
    <t>endure</t>
  </si>
  <si>
    <t>prox resuc mucho mas fuerte</t>
  </si>
  <si>
    <t>demonic decree</t>
  </si>
  <si>
    <t>abyssal wings</t>
  </si>
  <si>
    <t>maestro de explosion</t>
  </si>
  <si>
    <t>maestro de psiquico</t>
  </si>
  <si>
    <t>daga, grimorio</t>
  </si>
  <si>
    <t>eiga</t>
  </si>
  <si>
    <t>maeiga</t>
  </si>
  <si>
    <t>aum daño osc</t>
  </si>
  <si>
    <t>evadir osc</t>
  </si>
  <si>
    <t>maeigaon</t>
  </si>
  <si>
    <t>eiha</t>
  </si>
  <si>
    <t>bomba humo</t>
  </si>
  <si>
    <t>[daga 1]</t>
  </si>
  <si>
    <t>steal</t>
  </si>
  <si>
    <t>aum robar</t>
  </si>
  <si>
    <t>mudo</t>
  </si>
  <si>
    <t>maeiha</t>
  </si>
  <si>
    <t>[daga 2]</t>
  </si>
  <si>
    <t>magarubarion</t>
  </si>
  <si>
    <t>las clases tier 1 y 2 tendrán entre 9 y 10 habs, las clases tier 3 tendrán 12, las clases especiales tendrán 6</t>
  </si>
  <si>
    <t>diamrita</t>
  </si>
  <si>
    <t>[daga 3]</t>
  </si>
  <si>
    <t>mamudo</t>
  </si>
  <si>
    <t>[daga 4]</t>
  </si>
  <si>
    <t>resistir osc</t>
  </si>
  <si>
    <t>sukukaja</t>
  </si>
  <si>
    <t>nuclear</t>
  </si>
  <si>
    <t>eigaon, hamaon, mudoon, drains, zombis</t>
  </si>
  <si>
    <t>ataques que bajan fue/mag/res/ag/sue, nuclear, teletransporte, constelaciones</t>
  </si>
  <si>
    <t>psiquico, cambiar orden y frecuencia de turnos</t>
  </si>
  <si>
    <t>gidolaon</t>
  </si>
  <si>
    <t>slowga</t>
  </si>
  <si>
    <t>new zombie +</t>
  </si>
  <si>
    <t>new zombie</t>
  </si>
  <si>
    <t>new zombie pilla al ultimo enemigo muerto</t>
  </si>
  <si>
    <t>new zombie + saca uno nuevo, del mayor nivel entre el usuario y todos los enemigos muertos</t>
  </si>
  <si>
    <t>spirit drain</t>
  </si>
  <si>
    <t>zombie boost</t>
  </si>
  <si>
    <t>hastega</t>
  </si>
  <si>
    <t>hastedyne</t>
  </si>
  <si>
    <t>time aura</t>
  </si>
  <si>
    <t>space aura</t>
  </si>
  <si>
    <t>zombie boost aumenta el nivel de las posesiones</t>
  </si>
  <si>
    <t>timestop da dos turnos extra al portador</t>
  </si>
  <si>
    <t>rewind deshace todo el ultimo turno entero solo para el grupo o solo para el grupo enemigo, pero sin revertir muertes</t>
  </si>
  <si>
    <t>[espada 1]</t>
  </si>
  <si>
    <t>[espada 3]</t>
  </si>
  <si>
    <t>[espada 5]</t>
  </si>
  <si>
    <t>[maza 1]</t>
  </si>
  <si>
    <t>[arco 1]</t>
  </si>
  <si>
    <t>[espada 2]</t>
  </si>
  <si>
    <t>[maza 2]</t>
  </si>
  <si>
    <t>[arco 2]</t>
  </si>
  <si>
    <t>aum cort</t>
  </si>
  <si>
    <t>aum cont</t>
  </si>
  <si>
    <t>aum perf</t>
  </si>
  <si>
    <t>aum basicos</t>
  </si>
  <si>
    <t>regenerate 1</t>
  </si>
  <si>
    <t>start taru</t>
  </si>
  <si>
    <t>[espada 4]</t>
  </si>
  <si>
    <t>[maza 3]</t>
  </si>
  <si>
    <t>[maza 4]</t>
  </si>
  <si>
    <t>[arco 3]</t>
  </si>
  <si>
    <t>[arco 4]</t>
  </si>
  <si>
    <t>evadir cort</t>
  </si>
  <si>
    <t>evadir cont</t>
  </si>
  <si>
    <t>evadir perf</t>
  </si>
  <si>
    <t>sturdy stance</t>
  </si>
  <si>
    <t>sturdy stance baja la evasión a 0% pero todo daño recibido a la mitad</t>
  </si>
  <si>
    <t>barge past</t>
  </si>
  <si>
    <t>barge past: en overworld si te golpean no es con desventaja</t>
  </si>
  <si>
    <t>enhanced action</t>
  </si>
  <si>
    <t>enhanced action: es más fácil stunear en overworld</t>
  </si>
  <si>
    <t>comeback victory</t>
  </si>
  <si>
    <t>comeback victory: recupera un poco de vida al matar a un enemigo</t>
  </si>
  <si>
    <t>aum prec si no se mueve</t>
  </si>
  <si>
    <t>red prec aum daño</t>
  </si>
  <si>
    <t>estocada ciega: aum crit espada/katana al siguiente turno si usa algo que no haga daño, e ignora ceguera</t>
  </si>
  <si>
    <t>estocada ciega</t>
  </si>
  <si>
    <t>[katana 1]</t>
  </si>
  <si>
    <t>[katana 2]</t>
  </si>
  <si>
    <t>[katana 3]</t>
  </si>
  <si>
    <t>[katana 4]</t>
  </si>
  <si>
    <t>[ballesta 1 back veneno]</t>
  </si>
  <si>
    <t>[ballesta 2 back desesp]</t>
  </si>
  <si>
    <t>[ballesta 3 back paralisis]</t>
  </si>
  <si>
    <t>[martillo 1]</t>
  </si>
  <si>
    <t>[martillo 2]</t>
  </si>
  <si>
    <t>[martillo 3]</t>
  </si>
  <si>
    <t>[katana 5]</t>
  </si>
  <si>
    <t>[katana 6]</t>
  </si>
  <si>
    <t>[arco+ballesta]</t>
  </si>
  <si>
    <t>[arco+ballesta]: el daño se calcula con la precision</t>
  </si>
  <si>
    <t>[martillo 4]</t>
  </si>
  <si>
    <t>[maza 5]</t>
  </si>
  <si>
    <t>[martillo 5]</t>
  </si>
  <si>
    <t>[martillo 6]</t>
  </si>
  <si>
    <t>[maza+martillo]</t>
  </si>
  <si>
    <t>aum daño, -5% hp cada atq</t>
  </si>
  <si>
    <t>básico doble</t>
  </si>
  <si>
    <t>regenerate 2</t>
  </si>
  <si>
    <t>stats:</t>
  </si>
  <si>
    <t>fisico</t>
  </si>
  <si>
    <t>magia
elemental</t>
  </si>
  <si>
    <t>magia
espiritual</t>
  </si>
  <si>
    <t>fuerza (daño fisico)</t>
  </si>
  <si>
    <t>inteligencia (daño elem)</t>
  </si>
  <si>
    <t>todopoderoso</t>
  </si>
  <si>
    <t>todopoderoso nunca es 
debil ni resistente. Si no se
dice lo contrario, usa la media
de inteligencia y sabiduria</t>
  </si>
  <si>
    <t>resistencia (red daño fisico)</t>
  </si>
  <si>
    <t>consitución (red daño elemental)</t>
  </si>
  <si>
    <t>voluntad (red daño espiritual)</t>
  </si>
  <si>
    <t>agilidad</t>
  </si>
  <si>
    <t>suerte</t>
  </si>
  <si>
    <t>descripcion</t>
  </si>
  <si>
    <t>al principio del juego se desbloquean todos los de rango 1. los confidentes desbloquean los de rango 2 y, al subirlos de nivel, los de rango 3 correspondientes</t>
  </si>
  <si>
    <t>perforante, trampas, daños por especie</t>
  </si>
  <si>
    <t>HP (puntos de vida)</t>
  </si>
  <si>
    <t>SP (puntos de habilidad especial)</t>
  </si>
  <si>
    <t>counters, invigorate, recibir daños ajenos y ataques fisicos variados, fuego</t>
  </si>
  <si>
    <t>contundente fisico y magico, carga, bonus sin arma, bonus sin armadura, regenerate</t>
  </si>
  <si>
    <t>[puño 1]</t>
  </si>
  <si>
    <t>iceberg igual al hielo/cong, sobrecarga igual al trueno/paralisis, huracán igual al viento/mareo, cataclismo igual a nuke/desesperación, exorcismo igual al psico/amnesia</t>
  </si>
  <si>
    <t>invigorate 1</t>
  </si>
  <si>
    <t>miriada de cortes</t>
  </si>
  <si>
    <t>surprise upset: disminuye la dificultad de stunear a enemigos rojos</t>
  </si>
  <si>
    <t>diligent disciple: incrementa los criticos en un 5%</t>
  </si>
  <si>
    <t>hpmax +15%</t>
  </si>
  <si>
    <t>high voltage: al entrar en combate tras stunear en overworld, +10% criticos</t>
  </si>
  <si>
    <t>spirit of adversity: con menos de 10% de vida, +20% críticos</t>
  </si>
  <si>
    <t>[puño 2]</t>
  </si>
  <si>
    <t>surprise upset</t>
  </si>
  <si>
    <t>[puño 1 amnesia]</t>
  </si>
  <si>
    <t>battle cry: auto aum atq y def 2 turnos</t>
  </si>
  <si>
    <t>battle cry</t>
  </si>
  <si>
    <t>[puño 3]</t>
  </si>
  <si>
    <t>dodge master: nadie le puede hacer un critico</t>
  </si>
  <si>
    <t>aum mucho puño</t>
  </si>
  <si>
    <t>fist master: demedia todos los costes de HP de habilidades de puño</t>
  </si>
  <si>
    <t>fist master</t>
  </si>
  <si>
    <t>battle master</t>
  </si>
  <si>
    <t>dodge master</t>
  </si>
  <si>
    <t>meditation</t>
  </si>
  <si>
    <t>spirit of adversity</t>
  </si>
  <si>
    <t>high voltage</t>
  </si>
  <si>
    <t>diligent disciple</t>
  </si>
  <si>
    <t>[puño 4]</t>
  </si>
  <si>
    <t>[puño 5]</t>
  </si>
  <si>
    <t>[puño 3 mareo]</t>
  </si>
  <si>
    <t>[puño 6]</t>
  </si>
  <si>
    <t>[puño 7]</t>
  </si>
  <si>
    <t>[puño 7 sueño]</t>
  </si>
  <si>
    <t>[puño 8]</t>
  </si>
  <si>
    <t>defs sin armadura pesada +10%</t>
  </si>
  <si>
    <t>regenerate 3</t>
  </si>
  <si>
    <t>puños atacan a la def mas baja</t>
  </si>
  <si>
    <t>charge</t>
  </si>
  <si>
    <t>FUE</t>
  </si>
  <si>
    <t>INT</t>
  </si>
  <si>
    <t>SAB</t>
  </si>
  <si>
    <t>CON</t>
  </si>
  <si>
    <t>VOL</t>
  </si>
  <si>
    <t>RES</t>
  </si>
  <si>
    <t>AG</t>
  </si>
  <si>
    <t>SUE</t>
  </si>
  <si>
    <t>omninante</t>
  </si>
  <si>
    <t>sabiduria (daño espir y cura)</t>
  </si>
  <si>
    <t>rango 1 -&gt; +5</t>
  </si>
  <si>
    <t>rango 2 -&gt; +11</t>
  </si>
  <si>
    <t>rango 3 -&gt; +22</t>
  </si>
  <si>
    <t>paladín funesto</t>
  </si>
  <si>
    <t>auto-repel</t>
  </si>
  <si>
    <t>noble resolve: [Passive] Halves damage taken when ambushed.</t>
  </si>
  <si>
    <t>knight's proclamation: Draws enemy attention and takes attacks for allies for 1 turn. (Certain attacks defy this effect.)</t>
  </si>
  <si>
    <t>auto-repel: Chance to reflect an enemy's attack in overworld combat.</t>
  </si>
  <si>
    <t>start raku</t>
  </si>
  <si>
    <t>start suku</t>
  </si>
  <si>
    <t>[Escudo 1]</t>
  </si>
  <si>
    <t>[Escudo 3]</t>
  </si>
  <si>
    <t>[Escudo 5]</t>
  </si>
  <si>
    <t>[Escudo 8]</t>
  </si>
  <si>
    <t>lanza, escudo</t>
  </si>
  <si>
    <t>grimorio, bastón, florete</t>
  </si>
  <si>
    <t>[Escudo 2]</t>
  </si>
  <si>
    <t>[Escudo 4]</t>
  </si>
  <si>
    <t>[Lanza 1]</t>
  </si>
  <si>
    <t>[Lanza 2]</t>
  </si>
  <si>
    <t>mediline: Weak HP recovery for allies in the same row.</t>
  </si>
  <si>
    <t>tetrakarn</t>
  </si>
  <si>
    <t>makarakarn</t>
  </si>
  <si>
    <t>[Escudo 6]</t>
  </si>
  <si>
    <t>[Escudo 7]</t>
  </si>
  <si>
    <t>tetraja</t>
  </si>
  <si>
    <t>holy knight's proclamation: Gaurds and draws enemy attention and takes attacks for allies for 1 turns (Certain attacks defy this effect.)</t>
  </si>
  <si>
    <t>physical guard</t>
  </si>
  <si>
    <t>elemental guard</t>
  </si>
  <si>
    <t>spirit guard</t>
  </si>
  <si>
    <t>physical guard: un aliado es inmune a daño fisico durante 1 turno</t>
  </si>
  <si>
    <t>elemental guard: un aliado es inmune a daño elemental durante 1 turno</t>
  </si>
  <si>
    <t>spirit guard: un aliado es inmune a daño espiritual durante 1 turno</t>
  </si>
  <si>
    <t>tetrakarn: un aliado repele el proximo ataque fisico que reciba</t>
  </si>
  <si>
    <t>makarakarn: un aliado repele el proximo ataque elemental que reciba</t>
  </si>
  <si>
    <t>spirikarn: un aliado repele el proximo ataque espiritual que reciba</t>
  </si>
  <si>
    <t>spirikarn</t>
  </si>
  <si>
    <t>holy knight's proclamation</t>
  </si>
  <si>
    <t>noble resolve</t>
  </si>
  <si>
    <t>[lanza 3]</t>
  </si>
  <si>
    <t>garu strike</t>
  </si>
  <si>
    <t>agi strike</t>
  </si>
  <si>
    <t>bufu strike</t>
  </si>
  <si>
    <t>zio strike</t>
  </si>
  <si>
    <t>agidyne strike</t>
  </si>
  <si>
    <t>garudyne strike</t>
  </si>
  <si>
    <t>ziodyne strike</t>
  </si>
  <si>
    <t>bufudyne strike</t>
  </si>
  <si>
    <t>lanza, espada, florete, escudo</t>
  </si>
  <si>
    <t>magic counter: 20% chance repelling next elemental or spiritual damage taken</t>
  </si>
  <si>
    <t>[ballesta 5 back dormir]</t>
  </si>
  <si>
    <t>[ballesta 5 back quemadura]</t>
  </si>
  <si>
    <t>tarukaja</t>
  </si>
  <si>
    <t>rakukaja</t>
  </si>
  <si>
    <t>death protection</t>
  </si>
  <si>
    <t>death protection: da endure a un aliado 1 vez</t>
  </si>
  <si>
    <t>prot fisico</t>
  </si>
  <si>
    <t>aum mucho escudo</t>
  </si>
  <si>
    <t>[lanza 5]</t>
  </si>
  <si>
    <t>[lanza 4]</t>
  </si>
  <si>
    <t>holy protection</t>
  </si>
  <si>
    <t>aum mucho lanza</t>
  </si>
  <si>
    <t>tarunda</t>
  </si>
  <si>
    <t>rakunda</t>
  </si>
  <si>
    <t>sukunda</t>
  </si>
  <si>
    <t>matarunda</t>
  </si>
  <si>
    <t>marakunda</t>
  </si>
  <si>
    <t>masukunda</t>
  </si>
  <si>
    <t>magic counter</t>
  </si>
  <si>
    <t>[hacha 5]</t>
  </si>
  <si>
    <t>[lanza 6]</t>
  </si>
  <si>
    <t>[florete 5]</t>
  </si>
  <si>
    <t>más magia armas</t>
  </si>
  <si>
    <t>counter</t>
  </si>
  <si>
    <t>counter: 20% chance repelling next physical damage taken</t>
  </si>
  <si>
    <t>master counter</t>
  </si>
  <si>
    <t>[Espada 3]</t>
  </si>
  <si>
    <t>invigorate 3</t>
  </si>
  <si>
    <t>[lanza 7]</t>
  </si>
  <si>
    <t>[lanza 8]</t>
  </si>
  <si>
    <t>invigorate 2</t>
  </si>
  <si>
    <t>master counter: 40% chance repelling next damage taken con 1'5x fuerza on lanza equipada</t>
  </si>
  <si>
    <t>cataclysm</t>
  </si>
  <si>
    <t>exorcism</t>
  </si>
  <si>
    <t>farsante</t>
  </si>
  <si>
    <t>invocaciones tochas que ignoran resistencias</t>
  </si>
  <si>
    <t>objetos, hielo, pasivas, añadir debilidades</t>
  </si>
  <si>
    <t>gota de amrita</t>
  </si>
  <si>
    <t>invoc cont mag grave todos IR</t>
  </si>
  <si>
    <t>invoc megidola + sukunda</t>
  </si>
  <si>
    <t>mas daño invocs</t>
  </si>
  <si>
    <t>invoc mediarahan + lluvia amrita</t>
  </si>
  <si>
    <t>subidón</t>
  </si>
  <si>
    <t>debilitar</t>
  </si>
  <si>
    <t>ma subidón</t>
  </si>
  <si>
    <t>ma debilitar</t>
  </si>
  <si>
    <t>carga otro, carga todos, concentrar otro, concentrar todos, debufos tochos, trueno</t>
  </si>
  <si>
    <t>matarukaja</t>
  </si>
  <si>
    <t>marakukaja</t>
  </si>
  <si>
    <t>masukukaja</t>
  </si>
  <si>
    <t>gift mp</t>
  </si>
  <si>
    <t>dekaja</t>
  </si>
  <si>
    <t>dekunda</t>
  </si>
  <si>
    <t>faker's roguery</t>
  </si>
  <si>
    <t>estafador</t>
  </si>
  <si>
    <t>faker's master roguery</t>
  </si>
  <si>
    <t>carga otro</t>
  </si>
  <si>
    <t>concentrar otro</t>
  </si>
  <si>
    <t>carga todos</t>
  </si>
  <si>
    <t>concentrar todos</t>
  </si>
  <si>
    <t>mimético</t>
  </si>
  <si>
    <t>slow</t>
  </si>
  <si>
    <t>haste</t>
  </si>
  <si>
    <t>essence drain</t>
  </si>
  <si>
    <t>essence drain es literalmente life drain y spirit drain a la vez</t>
  </si>
  <si>
    <t>añadir deb fisica</t>
  </si>
  <si>
    <t>insight</t>
  </si>
  <si>
    <t>hunter's mark</t>
  </si>
  <si>
    <t>investigate</t>
  </si>
  <si>
    <t>investigate: revela 1 debilidad del enemigo</t>
  </si>
  <si>
    <t>thorough investigation: revela todas las debilidades del enemigo</t>
  </si>
  <si>
    <t>thorough investigation</t>
  </si>
  <si>
    <t>insight: la próxima vez que se ataque a ese enemigo, se le hace crítico sí o sí</t>
  </si>
  <si>
    <t>hunter's mark: la próxima vez que se ataque a ese enemigo recibirá doble de daño como si estuviera con carga/concentrar (acumulable)</t>
  </si>
  <si>
    <t>los unicos ataques que usan HP en lugar de SP son los de puños y los de magia de armas</t>
  </si>
  <si>
    <t>en la primera parte del juego solo una clase a la vez, a partir de cierto momento alrededor del 60% del progreso de la trama cada uno podrá tener dos clases a la vez</t>
  </si>
  <si>
    <t>aum mucho dagas</t>
  </si>
  <si>
    <t>[daga 7]</t>
  </si>
  <si>
    <t>[daga 5]</t>
  </si>
  <si>
    <t>[daga 6]</t>
  </si>
  <si>
    <t>[florete 7]</t>
  </si>
  <si>
    <t>[florete 6]</t>
  </si>
  <si>
    <t>magnate + farsante, mudoon</t>
  </si>
  <si>
    <t>viento, buffs tochos, copia habs</t>
  </si>
  <si>
    <t>[hacha 6]</t>
  </si>
  <si>
    <t>miriada de cortes [espada + katana]: el numero de golpes cambia según la velocidad y la evasión</t>
  </si>
  <si>
    <t>almighty fis leve dinero</t>
  </si>
  <si>
    <t>daga, florete</t>
  </si>
  <si>
    <t>daga, florete, bastón</t>
  </si>
  <si>
    <t>[florete 3]</t>
  </si>
  <si>
    <t>[florete 1]</t>
  </si>
  <si>
    <t>[florete 2]</t>
  </si>
  <si>
    <t>[florete 4]</t>
  </si>
  <si>
    <t>[florete 8]</t>
  </si>
  <si>
    <t>florete, maza</t>
  </si>
  <si>
    <t>florete, maza, ballesta</t>
  </si>
  <si>
    <t>aum mucho florete</t>
  </si>
  <si>
    <t>daga, puño, maza, arco</t>
  </si>
  <si>
    <t>daga, maza, arco</t>
  </si>
  <si>
    <t>daga, maza, arco, bastón</t>
  </si>
  <si>
    <t>objetos curativos x2</t>
  </si>
  <si>
    <t>objeto ofensivo x3 free turn</t>
  </si>
  <si>
    <t>objeto curativo free turn</t>
  </si>
  <si>
    <t>[maza 5 + celestiales e infernales]</t>
  </si>
  <si>
    <t>[maza 5 + armaduras metálicas]</t>
  </si>
  <si>
    <t>elegant dancing</t>
  </si>
  <si>
    <t>elegant dancing: Has a chance of triggering an auto-dodge in overworld combat.</t>
  </si>
  <si>
    <t>last dance</t>
  </si>
  <si>
    <t>last dance: daño cort más golpes cuanto menos hp</t>
  </si>
  <si>
    <t>rebellion</t>
  </si>
  <si>
    <t>revolution</t>
  </si>
  <si>
    <t>fearful song</t>
  </si>
  <si>
    <t>extra turn song</t>
  </si>
  <si>
    <t>stagnant air</t>
  </si>
  <si>
    <t>dormina</t>
  </si>
  <si>
    <t>aum mucho fuerza dinero</t>
  </si>
  <si>
    <t>lullaby</t>
  </si>
  <si>
    <t>traitor</t>
  </si>
  <si>
    <t>will-o-wisp</t>
  </si>
  <si>
    <t>reverse thinking</t>
  </si>
  <si>
    <t>radiation</t>
  </si>
  <si>
    <t>exposure</t>
  </si>
  <si>
    <t>vendaval</t>
  </si>
  <si>
    <t>borrasca</t>
  </si>
  <si>
    <t>borrasca: prob alta mareo a un enemig</t>
  </si>
  <si>
    <t>vendaval: prob media mareo a todos los enemigos</t>
  </si>
  <si>
    <t>electrotela: prob alta paralisis a un enemigo</t>
  </si>
  <si>
    <t>will-o-wisp: prob alta quemar un enemigo</t>
  </si>
  <si>
    <t>forest fire: prob media quemar a todos los enemigos</t>
  </si>
  <si>
    <t>electroweb: prob media paralisis todos los enem</t>
  </si>
  <si>
    <t>anthartic breeze: prob media cong a todos los enem</t>
  </si>
  <si>
    <t>fridge breeze: prob alta cong a un enem</t>
  </si>
  <si>
    <t>fridge breeze</t>
  </si>
  <si>
    <t>electroweb</t>
  </si>
  <si>
    <t>anthartic breeze</t>
  </si>
  <si>
    <t>forest fire</t>
  </si>
  <si>
    <t>aum desesp</t>
  </si>
  <si>
    <t>aum amnesia</t>
  </si>
  <si>
    <t>aum almighty</t>
  </si>
  <si>
    <t>omniburst: inflige daño muy débil (potencia 5) de fuego hielo trueno viento nuke y psico a todos los enemigos</t>
  </si>
  <si>
    <t>olympic coreography</t>
  </si>
  <si>
    <t>olympic coreography: daño cort más golpes cuanto más hp</t>
  </si>
  <si>
    <t>[hacha 8]</t>
  </si>
  <si>
    <t>enhanced cooperation</t>
  </si>
  <si>
    <t>enhanced cooperation: aumenta un poco el daño de los compañeros en overworld</t>
  </si>
  <si>
    <t>formation of shelter X: mueve a todos a la fila de detrás y aumenta la def X niveles</t>
  </si>
  <si>
    <t>formation of vigor X: mueve a todos a la fila de delante y aumenta el atq X niveles</t>
  </si>
  <si>
    <t>extra turn song: concede a un aliado el turno del usuario en su lugar, y le sube todas las estadísticas 2 niveles</t>
  </si>
  <si>
    <t>formation of vigor 1</t>
  </si>
  <si>
    <t>formation of shelter 1</t>
  </si>
  <si>
    <t>formation of vigor 2</t>
  </si>
  <si>
    <t>formation of shelter 2</t>
  </si>
  <si>
    <t>formation of vigor 3</t>
  </si>
  <si>
    <t>formation of shelter 3</t>
  </si>
  <si>
    <t>[hacha 1]</t>
  </si>
  <si>
    <t>[hacha 2]</t>
  </si>
  <si>
    <t>[escudo 2]</t>
  </si>
  <si>
    <t>[hacha 3]</t>
  </si>
  <si>
    <t>[hacha 4]</t>
  </si>
  <si>
    <t>[hacha 7]</t>
  </si>
  <si>
    <t>[escudo 5]</t>
  </si>
  <si>
    <t>espiritu de liderazgo</t>
  </si>
  <si>
    <t>espiritu de liderazgo: se sube a si mismo atq def prec y eva 2 niveles</t>
  </si>
  <si>
    <t>front boost</t>
  </si>
  <si>
    <t>back boost</t>
  </si>
  <si>
    <t>slowX tiene X% de probabilidad de hacer que el enemigo gaste un icono entero aunque haga critico/debilidad, y de hacer que pierda un icono extra aunque no falle</t>
  </si>
  <si>
    <t>hasteX tiene un X% de probabilidad de hacer que un aliado gaste medio icono aunque no haga critico/debilidad, que no pierda icono aunque falle</t>
  </si>
  <si>
    <t>space aura y time aura mejoran un poco ursa, cassiopeia y pleiyades y slow y haste respectivamente</t>
  </si>
  <si>
    <t>ahorro time</t>
  </si>
  <si>
    <t>singularity es megidolaon pero el daño depende de cuántas constelaciones haya y cuáles y el tipo depende de las ultimas magias usadas</t>
  </si>
  <si>
    <t>mudoon</t>
  </si>
  <si>
    <t>time travel</t>
  </si>
  <si>
    <t>teleport cambia a quién le toca justo después de al usuario</t>
  </si>
  <si>
    <t>time travel hace que el usuario dentro de 2 turnos vuelva al estado de justo después de usar la habilidad</t>
  </si>
  <si>
    <t>objeto ofensivo x1'5</t>
  </si>
  <si>
    <t>añadir deb fisica aleat</t>
  </si>
  <si>
    <t>añadir deb elem aleat</t>
  </si>
  <si>
    <t>añadir deb spirit aleat</t>
  </si>
  <si>
    <t>añadir deb aleat</t>
  </si>
  <si>
    <t>añadir deb elem</t>
  </si>
  <si>
    <t>añadir deb spirit</t>
  </si>
  <si>
    <t>añadir deb X: daño very light almighty a un enemigo, pone debilidad puntual en alguno de los atributos de su franja o de todos</t>
  </si>
  <si>
    <t>objeto cur estado free turn</t>
  </si>
  <si>
    <t>[arco 5 + flanes]</t>
  </si>
  <si>
    <t>[daga 5 + humanoides]</t>
  </si>
  <si>
    <t>[arco 5 + dragones]</t>
  </si>
  <si>
    <t>[maza 7]</t>
  </si>
  <si>
    <t>[daga 5 + nomuertos]</t>
  </si>
  <si>
    <t>tipo de daño del basico</t>
  </si>
  <si>
    <t>arma</t>
  </si>
  <si>
    <t>bastón, grimorio</t>
  </si>
  <si>
    <t>daños: maragi 20, agi 25, maragion 40, agi 45, maragidyne 60, agidyne 65, maragibarion 80, agibarion 85, meteoro 100</t>
  </si>
  <si>
    <t>maragion</t>
  </si>
  <si>
    <t>aum mucho nuke</t>
  </si>
  <si>
    <t>aum mucho psico</t>
  </si>
  <si>
    <t>aum mucho katana</t>
  </si>
  <si>
    <t>aum mucho martillo</t>
  </si>
  <si>
    <t>aum mucho ballesta</t>
  </si>
  <si>
    <t>aum mucho maza</t>
  </si>
  <si>
    <t>aum mucho espada</t>
  </si>
  <si>
    <t>aum mucho arco</t>
  </si>
  <si>
    <t>aum mucho hacha</t>
  </si>
  <si>
    <t>invoc psio grave todos IR</t>
  </si>
  <si>
    <t>masamarecarm</t>
  </si>
  <si>
    <t>invoc viento leve x10-15 uno IR</t>
  </si>
  <si>
    <t>invoc cort mag grave todos IR</t>
  </si>
  <si>
    <t>invoc perf mag grave todos IR</t>
  </si>
  <si>
    <t>invoc perf mag light uno IR</t>
  </si>
  <si>
    <t>invoc cont mag light uno IR</t>
  </si>
  <si>
    <t>invoc cort mag light uno IR</t>
  </si>
  <si>
    <t>invoc frei sever uno IR quem</t>
  </si>
  <si>
    <t>invoc cont+cort+perf mag severs uno IR + tarunda + rakunda</t>
  </si>
  <si>
    <t>aramasa</t>
  </si>
  <si>
    <t>aramasa: megidolaon strike</t>
  </si>
  <si>
    <t>radiation: inflige veneno a un enemigo</t>
  </si>
  <si>
    <t>exposure: probabilidad media de veneno a todos los enemigos</t>
  </si>
  <si>
    <t>mind control: probabilidad de amnesia a un enemigo</t>
  </si>
  <si>
    <t>reverse thinking: probabilidad de amnesia a todos los enemigos</t>
  </si>
  <si>
    <t>ominous words</t>
  </si>
  <si>
    <t>marin karin</t>
  </si>
  <si>
    <t>abysmal surge</t>
  </si>
  <si>
    <t>brain jack</t>
  </si>
  <si>
    <t>taunt</t>
  </si>
  <si>
    <t>wage war</t>
  </si>
  <si>
    <t>pulinpa</t>
  </si>
  <si>
    <t>tentarafoo</t>
  </si>
  <si>
    <t>evil touch</t>
  </si>
  <si>
    <t>evil smile</t>
  </si>
  <si>
    <t>foul breath</t>
  </si>
  <si>
    <t>aum alcance de alguien a siempre todos</t>
  </si>
  <si>
    <t>convertir muchos en uno pero doble</t>
  </si>
  <si>
    <t>alm fis medio dinero</t>
  </si>
  <si>
    <t>mejorar los ratios de los faker's rogueries</t>
  </si>
  <si>
    <t>ahorro en habs dinero</t>
  </si>
  <si>
    <t>añadirle que haga daño de tipos randoms</t>
  </si>
  <si>
    <t>energy drop</t>
  </si>
  <si>
    <t>energy shower</t>
  </si>
  <si>
    <t>alm fis grave dinero a todos</t>
  </si>
  <si>
    <t>almighty fisico severo dinero mucha prob crit</t>
  </si>
  <si>
    <t>money bleed</t>
  </si>
  <si>
    <t>money bleed: en overworld en lugar de perder hp pierdes dinero</t>
  </si>
  <si>
    <t>freedom purchase</t>
  </si>
  <si>
    <t>freedom purchase: paga al enemigo para poder huir de cualquier combate</t>
  </si>
  <si>
    <t>+5% magia espirit</t>
  </si>
  <si>
    <t>+5% magia elem</t>
  </si>
  <si>
    <t>mind master</t>
  </si>
  <si>
    <t>arms master</t>
  </si>
  <si>
    <t>concentrate</t>
  </si>
  <si>
    <t>battle master: inmune a todos los estados de baisudi+dizzy+rage</t>
  </si>
  <si>
    <t>tetra break</t>
  </si>
  <si>
    <t>makara break</t>
  </si>
  <si>
    <t>spiri break</t>
  </si>
  <si>
    <t>perfect inspiration</t>
  </si>
  <si>
    <t>perfect inspiration: auto-mataru + auto-maraku + auto-masuku</t>
  </si>
  <si>
    <t>prot trueno/luz</t>
  </si>
  <si>
    <t>prot fuego/osc</t>
  </si>
  <si>
    <t>prot nuc/viento</t>
  </si>
  <si>
    <t>prot hielo/psiq</t>
  </si>
  <si>
    <t>+5% daño fisico</t>
  </si>
  <si>
    <t>hp max +15%</t>
  </si>
  <si>
    <t>meditation: autocura equivalente a diarama+baisudi+dizzy+rage por la mitad de MP</t>
  </si>
  <si>
    <t>life wall</t>
  </si>
  <si>
    <t>[maza 5 + elems, animales, bestias]</t>
  </si>
  <si>
    <t>[katana 7]</t>
  </si>
  <si>
    <t>[espada 6]</t>
  </si>
  <si>
    <t>[martillo 7]</t>
  </si>
  <si>
    <t>[arco 6]</t>
  </si>
  <si>
    <t>[ballesta 7]</t>
  </si>
  <si>
    <t>+10% precision</t>
  </si>
  <si>
    <t>[ballesta 3 back confusión]</t>
  </si>
  <si>
    <t>+5% def fis</t>
  </si>
  <si>
    <t>+5% def espiritual</t>
  </si>
  <si>
    <t>+5% def elemental</t>
  </si>
  <si>
    <t>ursa fue</t>
  </si>
  <si>
    <t>ursa con</t>
  </si>
  <si>
    <t>ursa vol</t>
  </si>
  <si>
    <t>ursa res</t>
  </si>
  <si>
    <t>ursa int</t>
  </si>
  <si>
    <t>ursa sab</t>
  </si>
  <si>
    <t>ursa X aumenta fue/int/sab/res/con/vol de todo el equipo en un +10%, duran 5 turnos pero solo puede haber máximo 2 a la vez</t>
  </si>
  <si>
    <t>cassiopeia aumenta la inteligencia un 10% y hace que todos los ataques mágicos se calculen con inteligencia, pleiades lo mismo con sabiduria</t>
  </si>
  <si>
    <t>maslowga</t>
  </si>
  <si>
    <t>mahastega</t>
  </si>
  <si>
    <t>mp max +6%</t>
  </si>
  <si>
    <t>prox cura x2 más fuerte y por encima de pv máximos</t>
  </si>
  <si>
    <t>hama strike</t>
  </si>
  <si>
    <t>mudo strike</t>
  </si>
  <si>
    <t>[daga 8]</t>
  </si>
  <si>
    <t>[daga 9]</t>
  </si>
  <si>
    <t>romper res osc</t>
  </si>
  <si>
    <t>romper res luz</t>
  </si>
  <si>
    <t>aum curacion</t>
  </si>
  <si>
    <t>[grimorio 1]</t>
  </si>
  <si>
    <t>[grimorio 2]</t>
  </si>
  <si>
    <t>[grimorio 3]</t>
  </si>
  <si>
    <t>[bastón 1]</t>
  </si>
  <si>
    <t>[bastón 2]</t>
  </si>
  <si>
    <t>[bastón 3]</t>
  </si>
  <si>
    <t>resistir cort</t>
  </si>
  <si>
    <t>resistir cont</t>
  </si>
  <si>
    <t>resistir perf</t>
  </si>
  <si>
    <t>[arco 5]</t>
  </si>
  <si>
    <t>fearful song: almighty muy leve a todos los enemigos cuesta 0PM</t>
  </si>
  <si>
    <t>[escudo 3]</t>
  </si>
  <si>
    <t>[escudo 4]</t>
  </si>
  <si>
    <t>traitor: baja todas las estadísticas de un enemigo 2 niveles</t>
  </si>
  <si>
    <t>[escudo 6]</t>
  </si>
  <si>
    <t>fast heal</t>
  </si>
  <si>
    <t>insta heal</t>
  </si>
  <si>
    <t>survival trick</t>
  </si>
  <si>
    <t>aum prob furia</t>
  </si>
  <si>
    <t>soul master</t>
  </si>
  <si>
    <t>power master</t>
  </si>
  <si>
    <t>misc master</t>
  </si>
  <si>
    <t>usar dos objetos</t>
  </si>
  <si>
    <t>drain boost</t>
  </si>
  <si>
    <t>invoc trueno osc medium todos IR</t>
  </si>
  <si>
    <t>invoc hielo nuc medium x2 uno IR</t>
  </si>
  <si>
    <t>invoc fuego sever uno IR miedo</t>
  </si>
  <si>
    <t>invoc trueno grave todos IR brainw</t>
  </si>
  <si>
    <t>invoc eiga grave todos x2-3 IR desesp</t>
  </si>
  <si>
    <t>invocar noctiluca</t>
  </si>
  <si>
    <t>invoc kouga medio x3 uno IR sleep</t>
  </si>
  <si>
    <t>invoc hielo leve x4-5 todos IR mareo</t>
  </si>
  <si>
    <t>ursa ag</t>
  </si>
  <si>
    <t>[espada 7]</t>
  </si>
  <si>
    <t xml:space="preserve">         </t>
  </si>
  <si>
    <t>ursa sue</t>
  </si>
  <si>
    <t>holy protection: puede equipar dos escudos. todo el daño recibido se reduce a la mitad si hay dos escudos equipados</t>
  </si>
  <si>
    <t>knight's proclamation</t>
  </si>
  <si>
    <t>resistir miedo/desesp/sueño</t>
  </si>
  <si>
    <t>resistir veneno/furia</t>
  </si>
  <si>
    <t>resistir lavado/amnesia</t>
  </si>
  <si>
    <t>resistir quemadura/mareo</t>
  </si>
  <si>
    <t>resistir paralisis/cong</t>
  </si>
  <si>
    <t>romper res fisicos</t>
  </si>
  <si>
    <t>HP</t>
  </si>
  <si>
    <t>MP</t>
  </si>
  <si>
    <t>r2 -&gt; 750 a 900</t>
  </si>
  <si>
    <t>r3 -&gt; 1300 a 1500</t>
  </si>
  <si>
    <t>r1 -&gt; 330 a 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</si>
</sst>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E394DC"/>
      <name val="Consolas"/>
      <family val="3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0" xfId="0" applyBorder="1"/>
    <xf numFmtId="0" fontId="0" fillId="0" borderId="5" xfId="0" applyBorder="1"/>
    <xf numFmtId="0" fontId="0" fillId="0" borderId="8" xfId="0" applyBorder="1"/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16" xfId="0" applyBorder="1" applyAlignment="1">
      <alignment horizontal="right"/>
    </xf>
    <xf numFmtId="0" fontId="0" fillId="0" borderId="19" xfId="0" applyBorder="1" applyAlignment="1">
      <alignment horizontal="right"/>
    </xf>
    <xf numFmtId="0" fontId="0" fillId="0" borderId="32" xfId="0" applyBorder="1"/>
    <xf numFmtId="0" fontId="0" fillId="0" borderId="33" xfId="0" applyBorder="1" applyAlignment="1">
      <alignment horizontal="right"/>
    </xf>
    <xf numFmtId="0" fontId="0" fillId="0" borderId="0" xfId="0" applyFont="1"/>
    <xf numFmtId="0" fontId="1" fillId="0" borderId="0" xfId="0" applyFont="1" applyAlignment="1">
      <alignment vertical="center"/>
    </xf>
    <xf numFmtId="0" fontId="0" fillId="0" borderId="0" xfId="0" quotePrefix="1"/>
    <xf numFmtId="0" fontId="0" fillId="0" borderId="1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1" fontId="0" fillId="0" borderId="20" xfId="0" applyNumberFormat="1" applyBorder="1"/>
    <xf numFmtId="1" fontId="0" fillId="0" borderId="21" xfId="0" applyNumberFormat="1" applyBorder="1"/>
    <xf numFmtId="1" fontId="0" fillId="0" borderId="38" xfId="0" applyNumberFormat="1" applyBorder="1"/>
    <xf numFmtId="1" fontId="0" fillId="0" borderId="42" xfId="0" applyNumberFormat="1" applyBorder="1"/>
    <xf numFmtId="1" fontId="0" fillId="0" borderId="4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31</xdr:row>
      <xdr:rowOff>95250</xdr:rowOff>
    </xdr:from>
    <xdr:to>
      <xdr:col>16</xdr:col>
      <xdr:colOff>96271</xdr:colOff>
      <xdr:row>33</xdr:row>
      <xdr:rowOff>133408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D2FEE8-2EC9-4DA9-81E2-C09308907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76650" y="6000750"/>
          <a:ext cx="7316221" cy="419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276225</xdr:colOff>
      <xdr:row>30</xdr:row>
      <xdr:rowOff>66675</xdr:rowOff>
    </xdr:from>
    <xdr:to>
      <xdr:col>21</xdr:col>
      <xdr:colOff>19983</xdr:colOff>
      <xdr:row>31</xdr:row>
      <xdr:rowOff>123860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7825B25-62A3-4B19-AD79-389AEE7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2275" y="5781675"/>
          <a:ext cx="6687483" cy="24768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17</xdr:row>
      <xdr:rowOff>57150</xdr:rowOff>
    </xdr:from>
    <xdr:to>
      <xdr:col>9</xdr:col>
      <xdr:colOff>134019</xdr:colOff>
      <xdr:row>37</xdr:row>
      <xdr:rowOff>524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E5B9968-28FB-42CB-81E9-300E9FB0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6325" y="3295650"/>
          <a:ext cx="4791744" cy="375337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</xdr:row>
      <xdr:rowOff>0</xdr:rowOff>
    </xdr:from>
    <xdr:to>
      <xdr:col>8</xdr:col>
      <xdr:colOff>638776</xdr:colOff>
      <xdr:row>57</xdr:row>
      <xdr:rowOff>172006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12E0256-6746-4E29-AADF-1691A43756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6800" y="7048500"/>
          <a:ext cx="4305901" cy="3982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41"/>
  <sheetViews>
    <sheetView zoomScale="92" workbookViewId="0">
      <selection activeCell="L30" sqref="L30"/>
    </sheetView>
  </sheetViews>
  <sheetFormatPr baseColWidth="10" defaultColWidth="9.140625" defaultRowHeight="15" x14ac:dyDescent="0.25"/>
  <cols>
    <col min="4" max="4" width="10.7109375" customWidth="1"/>
    <col min="6" max="6" width="10.28515625" customWidth="1"/>
    <col min="7" max="7" width="13.42578125" customWidth="1"/>
    <col min="8" max="8" width="16" customWidth="1"/>
    <col min="9" max="9" width="10.5703125" customWidth="1"/>
    <col min="10" max="10" width="12.140625" customWidth="1"/>
    <col min="11" max="11" width="15.42578125" customWidth="1"/>
    <col min="16" max="16" width="9.28515625" customWidth="1"/>
    <col min="24" max="24" width="5.7109375" customWidth="1"/>
  </cols>
  <sheetData>
    <row r="2" spans="2:20" ht="15.75" thickBot="1" x14ac:dyDescent="0.3"/>
    <row r="3" spans="2:20" ht="24" customHeight="1" x14ac:dyDescent="0.25"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/>
    </row>
    <row r="4" spans="2:20" x14ac:dyDescent="0.25">
      <c r="B4" s="12"/>
      <c r="C4" s="45" t="s">
        <v>0</v>
      </c>
      <c r="D4" s="47"/>
      <c r="E4" s="5"/>
      <c r="F4" s="5"/>
      <c r="G4" s="5"/>
      <c r="H4" s="5"/>
      <c r="I4" s="45" t="s">
        <v>11</v>
      </c>
      <c r="J4" s="46"/>
      <c r="K4" s="46"/>
      <c r="L4" s="45" t="s">
        <v>374</v>
      </c>
      <c r="M4" s="46"/>
      <c r="N4" s="46"/>
      <c r="O4" s="46"/>
      <c r="P4" s="46"/>
      <c r="Q4" s="46"/>
      <c r="R4" s="46"/>
      <c r="S4" s="47"/>
      <c r="T4" s="13"/>
    </row>
    <row r="5" spans="2:20" x14ac:dyDescent="0.25">
      <c r="B5" s="12"/>
      <c r="C5" s="1"/>
      <c r="D5" s="2"/>
      <c r="E5" s="5"/>
      <c r="F5" s="5"/>
      <c r="G5" s="5"/>
      <c r="H5" s="5"/>
      <c r="I5" s="1"/>
      <c r="J5" s="5"/>
      <c r="K5" s="5"/>
      <c r="L5" s="5"/>
      <c r="M5" s="5"/>
      <c r="N5" s="5"/>
      <c r="O5" s="5"/>
      <c r="P5" s="5"/>
      <c r="Q5" s="5"/>
      <c r="R5" s="5"/>
      <c r="S5" s="2"/>
      <c r="T5" s="13"/>
    </row>
    <row r="6" spans="2:20" x14ac:dyDescent="0.25">
      <c r="B6" s="12"/>
      <c r="C6" s="48" t="s">
        <v>362</v>
      </c>
      <c r="D6" s="2" t="s">
        <v>1</v>
      </c>
      <c r="E6" s="5"/>
      <c r="F6" s="5"/>
      <c r="G6" s="5"/>
      <c r="H6" s="5"/>
      <c r="I6" s="1" t="s">
        <v>12</v>
      </c>
      <c r="J6" s="5" t="s">
        <v>14</v>
      </c>
      <c r="K6" s="5" t="s">
        <v>16</v>
      </c>
      <c r="L6" s="5" t="s">
        <v>150</v>
      </c>
      <c r="M6" s="5"/>
      <c r="N6" s="5"/>
      <c r="O6" s="5"/>
      <c r="P6" s="5"/>
      <c r="Q6" s="5"/>
      <c r="R6" s="5"/>
      <c r="S6" s="2"/>
      <c r="T6" s="13"/>
    </row>
    <row r="7" spans="2:20" x14ac:dyDescent="0.25">
      <c r="B7" s="12"/>
      <c r="C7" s="48"/>
      <c r="D7" s="2" t="s">
        <v>2</v>
      </c>
      <c r="E7" s="5"/>
      <c r="F7" s="5"/>
      <c r="G7" s="5"/>
      <c r="H7" s="5"/>
      <c r="I7" s="1"/>
      <c r="J7" s="5"/>
      <c r="K7" s="5" t="s">
        <v>17</v>
      </c>
      <c r="L7" s="5" t="s">
        <v>151</v>
      </c>
      <c r="M7" s="5"/>
      <c r="N7" s="5"/>
      <c r="O7" s="5"/>
      <c r="P7" s="5"/>
      <c r="Q7" s="5"/>
      <c r="R7" s="5"/>
      <c r="S7" s="2"/>
      <c r="T7" s="13"/>
    </row>
    <row r="8" spans="2:20" x14ac:dyDescent="0.25">
      <c r="B8" s="12"/>
      <c r="C8" s="48"/>
      <c r="D8" s="2" t="s">
        <v>3</v>
      </c>
      <c r="E8" s="5"/>
      <c r="F8" s="5"/>
      <c r="G8" s="5"/>
      <c r="H8" s="5"/>
      <c r="I8" s="1"/>
      <c r="J8" s="5" t="s">
        <v>22</v>
      </c>
      <c r="K8" s="5" t="s">
        <v>18</v>
      </c>
      <c r="L8" s="5" t="s">
        <v>152</v>
      </c>
      <c r="M8" s="5"/>
      <c r="N8" s="5"/>
      <c r="O8" s="5"/>
      <c r="P8" s="5"/>
      <c r="Q8" s="5"/>
      <c r="R8" s="5"/>
      <c r="S8" s="2"/>
      <c r="T8" s="13"/>
    </row>
    <row r="9" spans="2:20" x14ac:dyDescent="0.25">
      <c r="B9" s="12"/>
      <c r="C9" s="1"/>
      <c r="D9" s="2"/>
      <c r="E9" s="5"/>
      <c r="F9" s="5"/>
      <c r="G9" s="5"/>
      <c r="H9" s="5"/>
      <c r="I9" s="1"/>
      <c r="J9" s="5"/>
      <c r="K9" s="5" t="s">
        <v>19</v>
      </c>
      <c r="L9" s="5" t="s">
        <v>153</v>
      </c>
      <c r="M9" s="5"/>
      <c r="N9" s="5"/>
      <c r="O9" s="5"/>
      <c r="P9" s="5"/>
      <c r="Q9" s="5"/>
      <c r="R9" s="5"/>
      <c r="S9" s="2"/>
      <c r="T9" s="13"/>
    </row>
    <row r="10" spans="2:20" x14ac:dyDescent="0.25">
      <c r="B10" s="12"/>
      <c r="C10" s="49" t="s">
        <v>363</v>
      </c>
      <c r="D10" s="2" t="s">
        <v>4</v>
      </c>
      <c r="E10" s="5"/>
      <c r="F10" s="5"/>
      <c r="G10" s="5"/>
      <c r="H10" s="5"/>
      <c r="I10" s="1" t="s">
        <v>13</v>
      </c>
      <c r="J10" s="5" t="s">
        <v>15</v>
      </c>
      <c r="K10" s="5" t="s">
        <v>20</v>
      </c>
      <c r="L10" s="5" t="s">
        <v>262</v>
      </c>
      <c r="M10" s="5"/>
      <c r="N10" s="5"/>
      <c r="O10" s="5"/>
      <c r="P10" s="5"/>
      <c r="Q10" s="5"/>
      <c r="R10" s="5"/>
      <c r="S10" s="2"/>
      <c r="T10" s="13"/>
    </row>
    <row r="11" spans="2:20" x14ac:dyDescent="0.25">
      <c r="B11" s="12"/>
      <c r="C11" s="48"/>
      <c r="D11" s="2" t="s">
        <v>5</v>
      </c>
      <c r="E11" s="5"/>
      <c r="F11" s="5"/>
      <c r="G11" s="5"/>
      <c r="H11" s="5"/>
      <c r="I11" s="1"/>
      <c r="J11" s="5"/>
      <c r="K11" s="5" t="s">
        <v>21</v>
      </c>
      <c r="L11" s="5" t="s">
        <v>263</v>
      </c>
      <c r="M11" s="5"/>
      <c r="N11" s="5"/>
      <c r="O11" s="5"/>
      <c r="P11" s="5"/>
      <c r="Q11" s="5"/>
      <c r="R11" s="5"/>
      <c r="S11" s="2"/>
      <c r="T11" s="13"/>
    </row>
    <row r="12" spans="2:20" x14ac:dyDescent="0.25">
      <c r="B12" s="12"/>
      <c r="C12" s="48"/>
      <c r="D12" s="2" t="s">
        <v>6</v>
      </c>
      <c r="E12" s="5"/>
      <c r="F12" s="5"/>
      <c r="G12" s="5"/>
      <c r="H12" s="5"/>
      <c r="I12" s="1"/>
      <c r="J12" s="5"/>
      <c r="K12" s="5" t="s">
        <v>155</v>
      </c>
      <c r="L12" s="5" t="s">
        <v>164</v>
      </c>
      <c r="M12" s="5"/>
      <c r="N12" s="5"/>
      <c r="O12" s="5"/>
      <c r="P12" s="5"/>
      <c r="Q12" s="5"/>
      <c r="R12" s="5"/>
      <c r="S12" s="2"/>
      <c r="T12" s="13"/>
    </row>
    <row r="13" spans="2:20" x14ac:dyDescent="0.25">
      <c r="B13" s="12"/>
      <c r="C13" s="48"/>
      <c r="D13" s="2" t="s">
        <v>7</v>
      </c>
      <c r="E13" s="5"/>
      <c r="F13" s="5"/>
      <c r="G13" s="5"/>
      <c r="H13" s="5"/>
      <c r="I13" s="1" t="s">
        <v>25</v>
      </c>
      <c r="J13" s="5" t="s">
        <v>24</v>
      </c>
      <c r="K13" s="5" t="s">
        <v>248</v>
      </c>
      <c r="L13" s="5" t="s">
        <v>250</v>
      </c>
      <c r="M13" s="5"/>
      <c r="N13" s="5"/>
      <c r="O13" s="5"/>
      <c r="P13" s="5"/>
      <c r="Q13" s="5"/>
      <c r="R13" s="5"/>
      <c r="S13" s="2"/>
      <c r="T13" s="13"/>
    </row>
    <row r="14" spans="2:20" x14ac:dyDescent="0.25">
      <c r="B14" s="12"/>
      <c r="C14" s="1"/>
      <c r="D14" s="2"/>
      <c r="E14" s="5"/>
      <c r="F14" s="5"/>
      <c r="G14" s="5"/>
      <c r="H14" s="5"/>
      <c r="I14" s="1"/>
      <c r="J14" s="5"/>
      <c r="K14" s="5" t="s">
        <v>26</v>
      </c>
      <c r="L14" s="5" t="s">
        <v>120</v>
      </c>
      <c r="M14" s="5" t="s">
        <v>117</v>
      </c>
      <c r="N14" s="5" t="s">
        <v>116</v>
      </c>
      <c r="O14" s="5" t="s">
        <v>118</v>
      </c>
      <c r="P14" s="5" t="s">
        <v>119</v>
      </c>
      <c r="Q14" s="5"/>
      <c r="R14" s="5"/>
      <c r="S14" s="2"/>
      <c r="T14" s="13"/>
    </row>
    <row r="15" spans="2:20" x14ac:dyDescent="0.25">
      <c r="B15" s="12"/>
      <c r="C15" s="49" t="s">
        <v>364</v>
      </c>
      <c r="D15" s="2" t="s">
        <v>286</v>
      </c>
      <c r="E15" s="5"/>
      <c r="F15" s="5"/>
      <c r="G15" s="5"/>
      <c r="H15" s="5"/>
      <c r="I15" s="1"/>
      <c r="J15" s="5"/>
      <c r="K15" s="5" t="s">
        <v>27</v>
      </c>
      <c r="L15" s="5" t="s">
        <v>236</v>
      </c>
      <c r="M15" s="5" t="s">
        <v>102</v>
      </c>
      <c r="N15" s="5" t="s">
        <v>254</v>
      </c>
      <c r="O15" s="5" t="s">
        <v>154</v>
      </c>
      <c r="P15" s="5"/>
      <c r="Q15" s="5"/>
      <c r="R15" s="5"/>
      <c r="S15" s="2"/>
      <c r="T15" s="13"/>
    </row>
    <row r="16" spans="2:20" x14ac:dyDescent="0.25">
      <c r="B16" s="12"/>
      <c r="C16" s="48"/>
      <c r="D16" s="2" t="s">
        <v>8</v>
      </c>
      <c r="E16" s="5"/>
      <c r="F16" s="5"/>
      <c r="G16" s="5"/>
      <c r="H16" s="5"/>
      <c r="I16" s="1" t="s">
        <v>28</v>
      </c>
      <c r="J16" s="5" t="s">
        <v>29</v>
      </c>
      <c r="K16" s="5" t="s">
        <v>249</v>
      </c>
      <c r="L16" s="5" t="s">
        <v>251</v>
      </c>
      <c r="M16" s="5"/>
      <c r="N16" s="5"/>
      <c r="O16" s="5"/>
      <c r="P16" s="5"/>
      <c r="Q16" s="5"/>
      <c r="R16" s="5"/>
      <c r="S16" s="2"/>
      <c r="T16" s="13"/>
    </row>
    <row r="17" spans="2:20" x14ac:dyDescent="0.25">
      <c r="B17" s="12"/>
      <c r="C17" s="48"/>
      <c r="D17" s="2" t="s">
        <v>9</v>
      </c>
      <c r="E17" s="5"/>
      <c r="F17" s="5"/>
      <c r="G17" s="5"/>
      <c r="H17" s="5"/>
      <c r="I17" s="1"/>
      <c r="J17" s="5"/>
      <c r="K17" s="5" t="s">
        <v>30</v>
      </c>
      <c r="L17" s="5" t="s">
        <v>125</v>
      </c>
      <c r="M17" s="5"/>
      <c r="N17" s="5"/>
      <c r="O17" s="5"/>
      <c r="P17" s="5"/>
      <c r="Q17" s="5"/>
      <c r="R17" s="5"/>
      <c r="S17" s="2"/>
      <c r="T17" s="13"/>
    </row>
    <row r="18" spans="2:20" x14ac:dyDescent="0.25">
      <c r="B18" s="12"/>
      <c r="C18" s="48"/>
      <c r="D18" s="2" t="s">
        <v>10</v>
      </c>
      <c r="E18" s="5"/>
      <c r="F18" s="5"/>
      <c r="G18" s="5"/>
      <c r="H18" s="5"/>
      <c r="I18" s="1" t="s">
        <v>35</v>
      </c>
      <c r="J18" s="5" t="s">
        <v>32</v>
      </c>
      <c r="K18" s="5" t="s">
        <v>31</v>
      </c>
      <c r="L18" s="5" t="s">
        <v>122</v>
      </c>
      <c r="M18" s="5"/>
      <c r="N18" s="5"/>
      <c r="O18" s="5"/>
      <c r="P18" s="5"/>
      <c r="Q18" s="5"/>
      <c r="R18" s="5"/>
      <c r="S18" s="2"/>
      <c r="T18" s="13"/>
    </row>
    <row r="19" spans="2:20" x14ac:dyDescent="0.25">
      <c r="B19" s="12"/>
      <c r="C19" s="1"/>
      <c r="D19" s="2"/>
      <c r="E19" s="5"/>
      <c r="F19" s="5"/>
      <c r="G19" s="5"/>
      <c r="H19" s="5"/>
      <c r="I19" s="1"/>
      <c r="J19" s="5" t="s">
        <v>56</v>
      </c>
      <c r="K19" s="5" t="s">
        <v>57</v>
      </c>
      <c r="L19" s="5" t="s">
        <v>123</v>
      </c>
      <c r="M19" s="5"/>
      <c r="N19" s="5"/>
      <c r="O19" s="5"/>
      <c r="P19" s="5"/>
      <c r="Q19" s="5"/>
      <c r="R19" s="5"/>
      <c r="S19" s="2"/>
      <c r="T19" s="13"/>
    </row>
    <row r="20" spans="2:20" ht="15" customHeight="1" x14ac:dyDescent="0.25">
      <c r="B20" s="12"/>
      <c r="C20" s="39" t="s">
        <v>367</v>
      </c>
      <c r="D20" s="41"/>
      <c r="E20" s="5"/>
      <c r="F20" s="5"/>
      <c r="G20" s="5"/>
      <c r="H20" s="5"/>
      <c r="I20" s="1"/>
      <c r="J20" s="5" t="s">
        <v>36</v>
      </c>
      <c r="K20" s="5" t="s">
        <v>37</v>
      </c>
      <c r="L20" s="5" t="s">
        <v>124</v>
      </c>
      <c r="M20" s="5"/>
      <c r="N20" s="5"/>
      <c r="O20" s="5"/>
      <c r="P20" s="5"/>
      <c r="Q20" s="5"/>
      <c r="R20" s="5"/>
      <c r="S20" s="2"/>
      <c r="T20" s="13"/>
    </row>
    <row r="21" spans="2:20" x14ac:dyDescent="0.25">
      <c r="B21" s="12"/>
      <c r="C21" s="3"/>
      <c r="D21" s="4"/>
      <c r="E21" s="5"/>
      <c r="F21" s="5"/>
      <c r="G21" s="5"/>
      <c r="H21" s="5"/>
      <c r="I21" s="1" t="s">
        <v>33</v>
      </c>
      <c r="J21" s="5" t="s">
        <v>62</v>
      </c>
      <c r="K21" s="5" t="s">
        <v>34</v>
      </c>
      <c r="L21" s="5" t="s">
        <v>380</v>
      </c>
      <c r="M21" s="5"/>
      <c r="N21" s="5"/>
      <c r="O21" s="5"/>
      <c r="P21" s="5"/>
      <c r="Q21" s="5"/>
      <c r="R21" s="5"/>
      <c r="S21" s="2"/>
      <c r="T21" s="13"/>
    </row>
    <row r="22" spans="2:20" x14ac:dyDescent="0.25">
      <c r="B22" s="12"/>
      <c r="C22" s="5"/>
      <c r="D22" s="5"/>
      <c r="E22" s="5"/>
      <c r="F22" s="5"/>
      <c r="G22" s="5"/>
      <c r="H22" s="5"/>
      <c r="I22" s="1" t="s">
        <v>38</v>
      </c>
      <c r="J22" s="5" t="s">
        <v>39</v>
      </c>
      <c r="K22" s="5" t="s">
        <v>41</v>
      </c>
      <c r="L22" s="5" t="s">
        <v>149</v>
      </c>
      <c r="M22" s="5"/>
      <c r="N22" s="5"/>
      <c r="O22" s="5"/>
      <c r="P22" s="5"/>
      <c r="Q22" s="5"/>
      <c r="R22" s="5"/>
      <c r="S22" s="2"/>
      <c r="T22" s="13"/>
    </row>
    <row r="23" spans="2:20" x14ac:dyDescent="0.25">
      <c r="B23" s="12"/>
      <c r="C23" s="45" t="s">
        <v>361</v>
      </c>
      <c r="D23" s="46"/>
      <c r="E23" s="47"/>
      <c r="F23" s="5"/>
      <c r="G23" s="5"/>
      <c r="H23" s="5"/>
      <c r="I23" s="1"/>
      <c r="J23" s="5"/>
      <c r="K23" s="5" t="s">
        <v>50</v>
      </c>
      <c r="L23" s="5" t="s">
        <v>146</v>
      </c>
      <c r="M23" s="5"/>
      <c r="N23" s="5"/>
      <c r="O23" s="5"/>
      <c r="P23" s="5"/>
      <c r="Q23" s="5"/>
      <c r="R23" s="5"/>
      <c r="S23" s="2"/>
      <c r="T23" s="13"/>
    </row>
    <row r="24" spans="2:20" x14ac:dyDescent="0.25">
      <c r="B24" s="12"/>
      <c r="C24" s="1"/>
      <c r="D24" s="5"/>
      <c r="E24" s="2"/>
      <c r="F24" s="5"/>
      <c r="G24" s="5"/>
      <c r="H24" s="5"/>
      <c r="I24" s="1"/>
      <c r="J24" s="5" t="s">
        <v>40</v>
      </c>
      <c r="K24" s="5" t="s">
        <v>48</v>
      </c>
      <c r="L24" s="5" t="s">
        <v>379</v>
      </c>
      <c r="M24" s="5"/>
      <c r="N24" s="5"/>
      <c r="O24" s="5"/>
      <c r="P24" s="5"/>
      <c r="Q24" s="5"/>
      <c r="R24" s="5"/>
      <c r="S24" s="2"/>
      <c r="T24" s="13"/>
    </row>
    <row r="25" spans="2:20" x14ac:dyDescent="0.25">
      <c r="B25" s="12"/>
      <c r="C25" s="1" t="s">
        <v>377</v>
      </c>
      <c r="D25" s="5"/>
      <c r="E25" s="2"/>
      <c r="F25" s="5"/>
      <c r="G25" s="5"/>
      <c r="H25" s="5"/>
      <c r="I25" s="1"/>
      <c r="J25" s="5"/>
      <c r="K25" s="5" t="s">
        <v>49</v>
      </c>
      <c r="L25" s="5" t="s">
        <v>147</v>
      </c>
      <c r="M25" s="5"/>
      <c r="N25" s="5"/>
      <c r="O25" s="5"/>
      <c r="P25" s="5"/>
      <c r="Q25" s="5"/>
      <c r="R25" s="5"/>
      <c r="S25" s="2"/>
      <c r="T25" s="13"/>
    </row>
    <row r="26" spans="2:20" x14ac:dyDescent="0.25">
      <c r="B26" s="12"/>
      <c r="C26" s="1" t="s">
        <v>378</v>
      </c>
      <c r="D26" s="5"/>
      <c r="E26" s="2"/>
      <c r="F26" s="5"/>
      <c r="G26" s="5"/>
      <c r="H26" s="5"/>
      <c r="I26" s="1" t="s">
        <v>23</v>
      </c>
      <c r="J26" s="5" t="s">
        <v>42</v>
      </c>
      <c r="K26" s="5" t="s">
        <v>43</v>
      </c>
      <c r="L26" s="5" t="s">
        <v>512</v>
      </c>
      <c r="M26" s="5"/>
      <c r="N26" s="5"/>
      <c r="O26" s="5"/>
      <c r="P26" s="5"/>
      <c r="Q26" s="5"/>
      <c r="R26" s="5"/>
      <c r="S26" s="2"/>
      <c r="T26" s="13"/>
    </row>
    <row r="27" spans="2:20" x14ac:dyDescent="0.25">
      <c r="B27" s="12"/>
      <c r="C27" s="1" t="s">
        <v>365</v>
      </c>
      <c r="D27" s="5"/>
      <c r="E27" s="2"/>
      <c r="F27" s="5"/>
      <c r="G27" s="5"/>
      <c r="H27" s="5"/>
      <c r="I27" s="1"/>
      <c r="J27" s="5"/>
      <c r="K27" s="5" t="s">
        <v>44</v>
      </c>
      <c r="L27" s="5" t="s">
        <v>287</v>
      </c>
      <c r="M27" s="5"/>
      <c r="N27" s="5"/>
      <c r="O27" s="5"/>
      <c r="P27" s="5"/>
      <c r="Q27" s="5"/>
      <c r="R27" s="5"/>
      <c r="S27" s="2"/>
      <c r="T27" s="13"/>
    </row>
    <row r="28" spans="2:20" x14ac:dyDescent="0.25">
      <c r="B28" s="12"/>
      <c r="C28" s="1" t="s">
        <v>366</v>
      </c>
      <c r="D28" s="5"/>
      <c r="E28" s="2"/>
      <c r="F28" s="5"/>
      <c r="G28" s="5"/>
      <c r="H28" s="5"/>
      <c r="I28" s="1"/>
      <c r="J28" s="5" t="s">
        <v>45</v>
      </c>
      <c r="K28" s="5" t="s">
        <v>46</v>
      </c>
      <c r="L28" s="5" t="s">
        <v>288</v>
      </c>
      <c r="M28" s="5"/>
      <c r="N28" s="5"/>
      <c r="O28" s="5"/>
      <c r="P28" s="5"/>
      <c r="Q28" s="5"/>
      <c r="R28" s="5"/>
      <c r="S28" s="2"/>
      <c r="T28" s="13"/>
    </row>
    <row r="29" spans="2:20" x14ac:dyDescent="0.25">
      <c r="B29" s="12"/>
      <c r="C29" s="1" t="s">
        <v>426</v>
      </c>
      <c r="D29" s="5"/>
      <c r="E29" s="2"/>
      <c r="F29" s="5"/>
      <c r="G29" s="5"/>
      <c r="H29" s="5"/>
      <c r="I29" s="1"/>
      <c r="J29" s="5"/>
      <c r="K29" s="5" t="s">
        <v>47</v>
      </c>
      <c r="L29" s="5" t="s">
        <v>289</v>
      </c>
      <c r="M29" s="5"/>
      <c r="N29" s="5"/>
      <c r="O29" s="5"/>
      <c r="P29" s="5"/>
      <c r="Q29" s="5"/>
      <c r="R29" s="5"/>
      <c r="S29" s="2"/>
      <c r="T29" s="13"/>
    </row>
    <row r="30" spans="2:20" x14ac:dyDescent="0.25">
      <c r="B30" s="12"/>
      <c r="C30" s="1" t="s">
        <v>369</v>
      </c>
      <c r="D30" s="5"/>
      <c r="E30" s="2"/>
      <c r="F30" s="5"/>
      <c r="G30" s="5"/>
      <c r="H30" s="5"/>
      <c r="I30" s="1" t="s">
        <v>52</v>
      </c>
      <c r="J30" s="5" t="s">
        <v>53</v>
      </c>
      <c r="K30" s="5" t="s">
        <v>51</v>
      </c>
      <c r="L30" s="5" t="s">
        <v>148</v>
      </c>
      <c r="M30" s="5"/>
      <c r="N30" s="5"/>
      <c r="O30" s="5"/>
      <c r="P30" s="5"/>
      <c r="Q30" s="5"/>
      <c r="R30" s="5"/>
      <c r="S30" s="2"/>
      <c r="T30" s="13"/>
    </row>
    <row r="31" spans="2:20" x14ac:dyDescent="0.25">
      <c r="B31" s="12"/>
      <c r="C31" s="1" t="s">
        <v>370</v>
      </c>
      <c r="D31" s="5"/>
      <c r="E31" s="2"/>
      <c r="F31" s="5"/>
      <c r="G31" s="5"/>
      <c r="H31" s="5"/>
      <c r="I31" s="1" t="s">
        <v>60</v>
      </c>
      <c r="J31" s="5" t="s">
        <v>63</v>
      </c>
      <c r="K31" s="5" t="s">
        <v>54</v>
      </c>
      <c r="L31" s="5" t="s">
        <v>523</v>
      </c>
      <c r="M31" s="5"/>
      <c r="N31" s="5"/>
      <c r="O31" s="5"/>
      <c r="P31" s="5"/>
      <c r="Q31" s="5"/>
      <c r="R31" s="5"/>
      <c r="S31" s="2"/>
      <c r="T31" s="13"/>
    </row>
    <row r="32" spans="2:20" x14ac:dyDescent="0.25">
      <c r="B32" s="12"/>
      <c r="C32" s="1" t="s">
        <v>371</v>
      </c>
      <c r="D32" s="5"/>
      <c r="E32" s="2"/>
      <c r="F32" s="5"/>
      <c r="G32" s="5"/>
      <c r="H32" s="5"/>
      <c r="I32" s="1"/>
      <c r="J32" s="5"/>
      <c r="K32" s="5" t="s">
        <v>55</v>
      </c>
      <c r="L32" s="5" t="s">
        <v>560</v>
      </c>
      <c r="M32" s="5"/>
      <c r="N32" s="5"/>
      <c r="O32" s="5"/>
      <c r="P32" s="5"/>
      <c r="Q32" s="5"/>
      <c r="R32" s="5"/>
      <c r="S32" s="2"/>
      <c r="T32" s="13"/>
    </row>
    <row r="33" spans="2:20" x14ac:dyDescent="0.25">
      <c r="B33" s="12"/>
      <c r="C33" s="1" t="s">
        <v>372</v>
      </c>
      <c r="D33" s="5"/>
      <c r="E33" s="2"/>
      <c r="F33" s="5"/>
      <c r="G33" s="5"/>
      <c r="H33" s="5"/>
      <c r="I33" s="1"/>
      <c r="J33" s="5" t="s">
        <v>511</v>
      </c>
      <c r="K33" s="5" t="s">
        <v>66</v>
      </c>
      <c r="L33" s="5" t="s">
        <v>559</v>
      </c>
      <c r="M33" s="5"/>
      <c r="N33" s="5"/>
      <c r="O33" s="5"/>
      <c r="P33" s="5"/>
      <c r="Q33" s="5"/>
      <c r="R33" s="5"/>
      <c r="S33" s="2"/>
      <c r="T33" s="13"/>
    </row>
    <row r="34" spans="2:20" x14ac:dyDescent="0.25">
      <c r="B34" s="12"/>
      <c r="C34" s="6" t="s">
        <v>373</v>
      </c>
      <c r="D34" s="7"/>
      <c r="E34" s="8"/>
      <c r="F34" s="5"/>
      <c r="G34" s="5"/>
      <c r="H34" s="5"/>
      <c r="I34" s="1" t="s">
        <v>64</v>
      </c>
      <c r="J34" s="5" t="s">
        <v>59</v>
      </c>
      <c r="K34" s="5" t="s">
        <v>58</v>
      </c>
      <c r="L34" s="5" t="s">
        <v>513</v>
      </c>
      <c r="M34" s="5"/>
      <c r="N34" s="5"/>
      <c r="O34" s="5"/>
      <c r="P34" s="5"/>
      <c r="Q34" s="5"/>
      <c r="R34" s="5"/>
      <c r="S34" s="2"/>
      <c r="T34" s="13"/>
    </row>
    <row r="35" spans="2:20" x14ac:dyDescent="0.25">
      <c r="B35" s="12"/>
      <c r="C35" s="5"/>
      <c r="D35" s="5"/>
      <c r="E35" s="5"/>
      <c r="F35" s="5"/>
      <c r="G35" s="5"/>
      <c r="H35" s="5"/>
      <c r="I35" s="6"/>
      <c r="J35" s="7"/>
      <c r="K35" s="7" t="s">
        <v>61</v>
      </c>
      <c r="L35" s="7" t="s">
        <v>376</v>
      </c>
      <c r="M35" s="7"/>
      <c r="N35" s="7"/>
      <c r="O35" s="7"/>
      <c r="P35" s="7"/>
      <c r="Q35" s="7"/>
      <c r="R35" s="7"/>
      <c r="S35" s="8"/>
      <c r="T35" s="13"/>
    </row>
    <row r="36" spans="2:20" x14ac:dyDescent="0.25">
      <c r="B36" s="12"/>
      <c r="C36" s="36" t="s">
        <v>368</v>
      </c>
      <c r="D36" s="37"/>
      <c r="E36" s="38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13"/>
    </row>
    <row r="37" spans="2:20" x14ac:dyDescent="0.25">
      <c r="B37" s="12"/>
      <c r="C37" s="39"/>
      <c r="D37" s="40"/>
      <c r="E37" s="4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13"/>
    </row>
    <row r="38" spans="2:20" x14ac:dyDescent="0.25">
      <c r="B38" s="12"/>
      <c r="C38" s="39"/>
      <c r="D38" s="40"/>
      <c r="E38" s="4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13"/>
    </row>
    <row r="39" spans="2:20" x14ac:dyDescent="0.25">
      <c r="B39" s="12"/>
      <c r="C39" s="42"/>
      <c r="D39" s="43"/>
      <c r="E39" s="44"/>
      <c r="F39" s="5"/>
      <c r="G39" s="45" t="s">
        <v>375</v>
      </c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7"/>
      <c r="T39" s="13"/>
    </row>
    <row r="40" spans="2:20" ht="23.25" customHeight="1" thickBot="1" x14ac:dyDescent="0.3"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6"/>
    </row>
    <row r="41" spans="2:20" ht="18" customHeight="1" x14ac:dyDescent="0.25"/>
  </sheetData>
  <mergeCells count="10">
    <mergeCell ref="C36:E39"/>
    <mergeCell ref="I4:K4"/>
    <mergeCell ref="L4:S4"/>
    <mergeCell ref="C23:E23"/>
    <mergeCell ref="C6:C8"/>
    <mergeCell ref="C10:C13"/>
    <mergeCell ref="C15:C18"/>
    <mergeCell ref="C4:D4"/>
    <mergeCell ref="C20:D20"/>
    <mergeCell ref="G39:S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2D48-5777-4272-A622-CC37012FB88C}">
  <dimension ref="C3:AA38"/>
  <sheetViews>
    <sheetView tabSelected="1" workbookViewId="0">
      <selection activeCell="Z35" sqref="Z35"/>
    </sheetView>
  </sheetViews>
  <sheetFormatPr baseColWidth="10" defaultRowHeight="15" x14ac:dyDescent="0.25"/>
  <cols>
    <col min="3" max="3" width="13" customWidth="1"/>
    <col min="4" max="11" width="6.7109375" customWidth="1"/>
    <col min="12" max="12" width="16.140625" customWidth="1"/>
    <col min="13" max="20" width="6.7109375" customWidth="1"/>
    <col min="22" max="22" width="13.42578125" customWidth="1"/>
    <col min="23" max="23" width="8" customWidth="1"/>
    <col min="24" max="24" width="8.140625" customWidth="1"/>
    <col min="25" max="25" width="15.85546875" customWidth="1"/>
    <col min="26" max="26" width="7.42578125" customWidth="1"/>
    <col min="27" max="27" width="7.5703125" customWidth="1"/>
  </cols>
  <sheetData>
    <row r="3" spans="3:27" ht="15.75" thickBot="1" x14ac:dyDescent="0.3"/>
    <row r="4" spans="3:27" x14ac:dyDescent="0.25">
      <c r="C4" s="50" t="s">
        <v>11</v>
      </c>
      <c r="D4" s="51" t="s">
        <v>417</v>
      </c>
      <c r="E4" s="51" t="s">
        <v>418</v>
      </c>
      <c r="F4" s="51" t="s">
        <v>419</v>
      </c>
      <c r="G4" s="51" t="s">
        <v>422</v>
      </c>
      <c r="H4" s="51" t="s">
        <v>420</v>
      </c>
      <c r="I4" s="51" t="s">
        <v>421</v>
      </c>
      <c r="J4" s="51" t="s">
        <v>423</v>
      </c>
      <c r="K4" s="51" t="s">
        <v>424</v>
      </c>
      <c r="L4" s="51" t="s">
        <v>11</v>
      </c>
      <c r="M4" s="51" t="s">
        <v>417</v>
      </c>
      <c r="N4" s="51" t="s">
        <v>418</v>
      </c>
      <c r="O4" s="51" t="s">
        <v>419</v>
      </c>
      <c r="P4" s="51" t="s">
        <v>422</v>
      </c>
      <c r="Q4" s="51" t="s">
        <v>420</v>
      </c>
      <c r="R4" s="51" t="s">
        <v>421</v>
      </c>
      <c r="S4" s="51" t="s">
        <v>423</v>
      </c>
      <c r="T4" s="52" t="s">
        <v>424</v>
      </c>
      <c r="V4" s="50" t="s">
        <v>11</v>
      </c>
      <c r="W4" s="51" t="s">
        <v>813</v>
      </c>
      <c r="X4" s="51" t="s">
        <v>814</v>
      </c>
      <c r="Y4" s="51" t="s">
        <v>11</v>
      </c>
      <c r="Z4" s="51" t="s">
        <v>813</v>
      </c>
      <c r="AA4" s="52" t="s">
        <v>814</v>
      </c>
    </row>
    <row r="5" spans="3:27" x14ac:dyDescent="0.25">
      <c r="C5" s="53" t="s">
        <v>12</v>
      </c>
      <c r="D5" s="23"/>
      <c r="E5" s="17">
        <v>2</v>
      </c>
      <c r="F5" s="17"/>
      <c r="G5" s="17"/>
      <c r="H5" s="17">
        <v>1</v>
      </c>
      <c r="I5" s="17"/>
      <c r="J5" s="17"/>
      <c r="K5" s="17">
        <v>2</v>
      </c>
      <c r="L5" s="20" t="s">
        <v>16</v>
      </c>
      <c r="M5" s="23"/>
      <c r="N5" s="17">
        <v>8</v>
      </c>
      <c r="O5" s="17">
        <v>2</v>
      </c>
      <c r="P5" s="17"/>
      <c r="Q5" s="17">
        <v>3</v>
      </c>
      <c r="R5" s="17">
        <v>4</v>
      </c>
      <c r="S5" s="17"/>
      <c r="T5" s="54">
        <v>5</v>
      </c>
      <c r="V5" s="53" t="s">
        <v>12</v>
      </c>
      <c r="W5" s="23">
        <v>132</v>
      </c>
      <c r="X5" s="59">
        <f>350-W5*1.2</f>
        <v>191.6</v>
      </c>
      <c r="Y5" s="20" t="s">
        <v>16</v>
      </c>
      <c r="Z5" s="23">
        <v>467</v>
      </c>
      <c r="AA5" s="61">
        <f>1500-Z5*1.2</f>
        <v>939.6</v>
      </c>
    </row>
    <row r="6" spans="3:27" x14ac:dyDescent="0.25">
      <c r="C6" s="55" t="s">
        <v>14</v>
      </c>
      <c r="D6" s="24"/>
      <c r="E6" s="18">
        <v>5</v>
      </c>
      <c r="F6" s="18">
        <v>1</v>
      </c>
      <c r="G6" s="18"/>
      <c r="H6" s="18">
        <v>2</v>
      </c>
      <c r="I6" s="18">
        <v>1</v>
      </c>
      <c r="J6" s="18"/>
      <c r="K6" s="18">
        <v>2</v>
      </c>
      <c r="L6" s="21" t="s">
        <v>17</v>
      </c>
      <c r="M6" s="24"/>
      <c r="N6" s="18">
        <v>8</v>
      </c>
      <c r="O6" s="18">
        <v>5</v>
      </c>
      <c r="P6" s="18"/>
      <c r="Q6" s="18">
        <v>4</v>
      </c>
      <c r="R6" s="18">
        <v>2</v>
      </c>
      <c r="S6" s="18"/>
      <c r="T6" s="56">
        <v>3</v>
      </c>
      <c r="V6" s="55" t="s">
        <v>14</v>
      </c>
      <c r="W6" s="24">
        <v>314</v>
      </c>
      <c r="X6" s="60">
        <f>850-W6*1.2</f>
        <v>473.2</v>
      </c>
      <c r="Y6" s="21" t="s">
        <v>17</v>
      </c>
      <c r="Z6" s="24">
        <v>483</v>
      </c>
      <c r="AA6" s="63">
        <f t="shared" ref="AA6:AA33" si="0">1500-Z6*1.2</f>
        <v>920.4</v>
      </c>
    </row>
    <row r="7" spans="3:27" x14ac:dyDescent="0.25">
      <c r="C7" s="55" t="s">
        <v>22</v>
      </c>
      <c r="D7" s="24">
        <v>1</v>
      </c>
      <c r="E7" s="18">
        <v>4</v>
      </c>
      <c r="F7" s="18"/>
      <c r="G7" s="18">
        <v>1</v>
      </c>
      <c r="H7" s="18">
        <v>2</v>
      </c>
      <c r="I7" s="18"/>
      <c r="J7" s="18"/>
      <c r="K7" s="18">
        <v>3</v>
      </c>
      <c r="L7" s="21" t="s">
        <v>18</v>
      </c>
      <c r="M7" s="24">
        <v>3</v>
      </c>
      <c r="N7" s="18">
        <v>8</v>
      </c>
      <c r="O7" s="18"/>
      <c r="P7" s="18">
        <v>2</v>
      </c>
      <c r="Q7" s="18">
        <v>4</v>
      </c>
      <c r="R7" s="18"/>
      <c r="S7" s="18"/>
      <c r="T7" s="56">
        <v>5</v>
      </c>
      <c r="V7" s="55" t="s">
        <v>22</v>
      </c>
      <c r="W7">
        <v>321</v>
      </c>
      <c r="X7" s="60">
        <f>850-W7*1.2</f>
        <v>464.8</v>
      </c>
      <c r="Y7" s="21" t="s">
        <v>18</v>
      </c>
      <c r="Z7" s="24">
        <v>500</v>
      </c>
      <c r="AA7" s="63">
        <f t="shared" si="0"/>
        <v>900</v>
      </c>
    </row>
    <row r="8" spans="3:27" x14ac:dyDescent="0.25">
      <c r="C8" s="55" t="s">
        <v>13</v>
      </c>
      <c r="D8" s="24"/>
      <c r="E8" s="18"/>
      <c r="F8" s="18">
        <v>2</v>
      </c>
      <c r="G8" s="18"/>
      <c r="H8" s="18"/>
      <c r="I8" s="18">
        <v>2</v>
      </c>
      <c r="J8" s="18"/>
      <c r="K8" s="18">
        <v>1</v>
      </c>
      <c r="L8" s="21" t="s">
        <v>19</v>
      </c>
      <c r="M8" s="24">
        <v>1</v>
      </c>
      <c r="N8" s="18">
        <v>8</v>
      </c>
      <c r="O8" s="18"/>
      <c r="P8" s="18">
        <v>1</v>
      </c>
      <c r="Q8" s="18">
        <v>3</v>
      </c>
      <c r="R8" s="18">
        <v>3</v>
      </c>
      <c r="S8" s="18"/>
      <c r="T8" s="56">
        <v>6</v>
      </c>
      <c r="V8" s="55" t="s">
        <v>13</v>
      </c>
      <c r="W8" s="24">
        <v>139</v>
      </c>
      <c r="X8" s="60">
        <f>350-W8*1.2</f>
        <v>183.20000000000002</v>
      </c>
      <c r="Y8" s="21" t="s">
        <v>19</v>
      </c>
      <c r="Z8" s="24">
        <v>496</v>
      </c>
      <c r="AA8" s="63">
        <f t="shared" si="0"/>
        <v>904.80000000000007</v>
      </c>
    </row>
    <row r="9" spans="3:27" x14ac:dyDescent="0.25">
      <c r="C9" s="55" t="s">
        <v>15</v>
      </c>
      <c r="D9" s="24"/>
      <c r="E9" s="18">
        <v>2</v>
      </c>
      <c r="F9" s="18">
        <v>5</v>
      </c>
      <c r="G9" s="18"/>
      <c r="H9" s="18"/>
      <c r="I9" s="18">
        <v>3</v>
      </c>
      <c r="J9" s="18"/>
      <c r="K9" s="18">
        <v>1</v>
      </c>
      <c r="L9" s="21" t="s">
        <v>20</v>
      </c>
      <c r="M9" s="24"/>
      <c r="N9" s="18">
        <v>4</v>
      </c>
      <c r="O9" s="18">
        <v>8</v>
      </c>
      <c r="P9" s="18"/>
      <c r="Q9" s="18">
        <v>1</v>
      </c>
      <c r="R9" s="18">
        <v>6</v>
      </c>
      <c r="S9" s="18"/>
      <c r="T9" s="56">
        <v>3</v>
      </c>
      <c r="V9" s="55" t="s">
        <v>15</v>
      </c>
      <c r="W9" s="24">
        <v>333</v>
      </c>
      <c r="X9" s="60">
        <f t="shared" ref="X8:X31" si="1">850-W9*1.2</f>
        <v>450.40000000000003</v>
      </c>
      <c r="Y9" s="21" t="s">
        <v>20</v>
      </c>
      <c r="Z9" s="24">
        <v>516</v>
      </c>
      <c r="AA9" s="63">
        <f t="shared" si="0"/>
        <v>880.80000000000007</v>
      </c>
    </row>
    <row r="10" spans="3:27" x14ac:dyDescent="0.25">
      <c r="C10" s="55" t="s">
        <v>25</v>
      </c>
      <c r="D10" s="24"/>
      <c r="E10" s="18"/>
      <c r="F10" s="18">
        <v>2</v>
      </c>
      <c r="G10" s="18"/>
      <c r="H10" s="18"/>
      <c r="I10" s="18">
        <v>1</v>
      </c>
      <c r="J10" s="18"/>
      <c r="K10" s="18">
        <v>2</v>
      </c>
      <c r="L10" s="21" t="s">
        <v>21</v>
      </c>
      <c r="M10" s="24"/>
      <c r="N10" s="18">
        <v>2</v>
      </c>
      <c r="O10" s="18">
        <v>8</v>
      </c>
      <c r="P10" s="18"/>
      <c r="Q10" s="18"/>
      <c r="R10" s="18">
        <v>7</v>
      </c>
      <c r="S10" s="18"/>
      <c r="T10" s="56">
        <v>5</v>
      </c>
      <c r="V10" s="55" t="s">
        <v>25</v>
      </c>
      <c r="W10" s="24">
        <v>150</v>
      </c>
      <c r="X10" s="60">
        <f>350-W10*1.2</f>
        <v>170</v>
      </c>
      <c r="Y10" s="21" t="s">
        <v>21</v>
      </c>
      <c r="Z10" s="24">
        <v>508</v>
      </c>
      <c r="AA10" s="63">
        <f t="shared" si="0"/>
        <v>890.4</v>
      </c>
    </row>
    <row r="11" spans="3:27" x14ac:dyDescent="0.25">
      <c r="C11" s="55" t="s">
        <v>24</v>
      </c>
      <c r="D11" s="24"/>
      <c r="E11" s="18">
        <v>1</v>
      </c>
      <c r="F11" s="18">
        <v>5</v>
      </c>
      <c r="G11" s="18">
        <v>1</v>
      </c>
      <c r="H11" s="18">
        <v>1</v>
      </c>
      <c r="I11" s="18">
        <v>1</v>
      </c>
      <c r="J11" s="18"/>
      <c r="K11" s="18">
        <v>2</v>
      </c>
      <c r="L11" s="21" t="s">
        <v>425</v>
      </c>
      <c r="M11" s="24"/>
      <c r="N11" s="18">
        <v>6</v>
      </c>
      <c r="O11" s="18">
        <v>6</v>
      </c>
      <c r="P11" s="18"/>
      <c r="Q11" s="18"/>
      <c r="R11" s="18">
        <v>6</v>
      </c>
      <c r="S11" s="18"/>
      <c r="T11" s="56">
        <v>4</v>
      </c>
      <c r="V11" s="55" t="s">
        <v>24</v>
      </c>
      <c r="W11" s="24">
        <v>346</v>
      </c>
      <c r="X11" s="60">
        <f t="shared" si="1"/>
        <v>434.8</v>
      </c>
      <c r="Y11" s="21" t="s">
        <v>425</v>
      </c>
      <c r="Z11" s="24">
        <v>461</v>
      </c>
      <c r="AA11" s="63">
        <f t="shared" si="0"/>
        <v>946.80000000000007</v>
      </c>
    </row>
    <row r="12" spans="3:27" x14ac:dyDescent="0.25">
      <c r="C12" s="55" t="s">
        <v>28</v>
      </c>
      <c r="D12" s="24">
        <v>1</v>
      </c>
      <c r="E12" s="18"/>
      <c r="F12" s="18"/>
      <c r="G12" s="18">
        <v>1</v>
      </c>
      <c r="H12" s="18"/>
      <c r="I12" s="18"/>
      <c r="J12" s="18">
        <v>2</v>
      </c>
      <c r="K12" s="18">
        <v>1</v>
      </c>
      <c r="L12" s="21" t="s">
        <v>248</v>
      </c>
      <c r="M12" s="24"/>
      <c r="N12" s="18">
        <v>4</v>
      </c>
      <c r="O12" s="18">
        <v>7</v>
      </c>
      <c r="P12" s="18">
        <v>1</v>
      </c>
      <c r="Q12" s="18">
        <v>2</v>
      </c>
      <c r="R12" s="18">
        <v>2</v>
      </c>
      <c r="S12" s="18"/>
      <c r="T12" s="56">
        <v>6</v>
      </c>
      <c r="V12" s="55" t="s">
        <v>28</v>
      </c>
      <c r="W12" s="24">
        <v>181</v>
      </c>
      <c r="X12" s="60">
        <f>350-W12*1.2</f>
        <v>132.80000000000001</v>
      </c>
      <c r="Y12" s="21" t="s">
        <v>248</v>
      </c>
      <c r="Z12" s="24">
        <v>521</v>
      </c>
      <c r="AA12" s="63">
        <f t="shared" si="0"/>
        <v>874.80000000000007</v>
      </c>
    </row>
    <row r="13" spans="3:27" x14ac:dyDescent="0.25">
      <c r="C13" s="55" t="s">
        <v>29</v>
      </c>
      <c r="D13" s="24">
        <v>2</v>
      </c>
      <c r="E13" s="18"/>
      <c r="F13" s="18">
        <v>3</v>
      </c>
      <c r="G13" s="18"/>
      <c r="H13" s="18"/>
      <c r="I13" s="18"/>
      <c r="J13" s="18">
        <v>5</v>
      </c>
      <c r="K13" s="18">
        <v>1</v>
      </c>
      <c r="L13" s="21" t="s">
        <v>26</v>
      </c>
      <c r="M13" s="24"/>
      <c r="N13" s="18">
        <v>4</v>
      </c>
      <c r="O13" s="18">
        <v>8</v>
      </c>
      <c r="P13" s="18">
        <v>1</v>
      </c>
      <c r="Q13" s="18">
        <v>1</v>
      </c>
      <c r="R13" s="18">
        <v>1</v>
      </c>
      <c r="S13" s="18"/>
      <c r="T13" s="56">
        <v>7</v>
      </c>
      <c r="V13" s="55" t="s">
        <v>29</v>
      </c>
      <c r="W13" s="24">
        <v>422</v>
      </c>
      <c r="X13" s="60">
        <f t="shared" si="1"/>
        <v>343.6</v>
      </c>
      <c r="Y13" s="21" t="s">
        <v>26</v>
      </c>
      <c r="Z13" s="24">
        <v>542</v>
      </c>
      <c r="AA13" s="63">
        <f t="shared" si="0"/>
        <v>849.6</v>
      </c>
    </row>
    <row r="14" spans="3:27" x14ac:dyDescent="0.25">
      <c r="C14" s="55" t="s">
        <v>35</v>
      </c>
      <c r="D14" s="24">
        <v>2</v>
      </c>
      <c r="E14" s="18"/>
      <c r="F14" s="18"/>
      <c r="G14" s="18">
        <v>1</v>
      </c>
      <c r="H14" s="18">
        <v>1</v>
      </c>
      <c r="I14" s="18"/>
      <c r="J14" s="18">
        <v>1</v>
      </c>
      <c r="K14" s="18"/>
      <c r="L14" s="21" t="s">
        <v>27</v>
      </c>
      <c r="M14" s="24"/>
      <c r="N14" s="18">
        <v>3</v>
      </c>
      <c r="O14" s="18">
        <v>7</v>
      </c>
      <c r="P14" s="18">
        <v>2</v>
      </c>
      <c r="Q14" s="18">
        <v>7</v>
      </c>
      <c r="R14" s="18">
        <v>2</v>
      </c>
      <c r="S14" s="18"/>
      <c r="T14" s="56">
        <v>1</v>
      </c>
      <c r="V14" s="55" t="s">
        <v>35</v>
      </c>
      <c r="W14" s="24">
        <v>236</v>
      </c>
      <c r="X14" s="60">
        <f>350-W14*1.2</f>
        <v>66.800000000000011</v>
      </c>
      <c r="Y14" s="21" t="s">
        <v>27</v>
      </c>
      <c r="Z14" s="24">
        <v>555</v>
      </c>
      <c r="AA14" s="63">
        <f t="shared" si="0"/>
        <v>834</v>
      </c>
    </row>
    <row r="15" spans="3:27" x14ac:dyDescent="0.25">
      <c r="C15" s="55" t="s">
        <v>32</v>
      </c>
      <c r="D15" s="24">
        <v>5</v>
      </c>
      <c r="E15" s="18"/>
      <c r="F15" s="18"/>
      <c r="G15" s="18">
        <v>1</v>
      </c>
      <c r="H15" s="18">
        <v>1</v>
      </c>
      <c r="I15" s="18"/>
      <c r="J15" s="18">
        <v>4</v>
      </c>
      <c r="K15" s="18"/>
      <c r="L15" s="21" t="s">
        <v>249</v>
      </c>
      <c r="M15" s="24">
        <v>3</v>
      </c>
      <c r="N15" s="18">
        <v>3</v>
      </c>
      <c r="O15" s="18">
        <v>8</v>
      </c>
      <c r="P15" s="18"/>
      <c r="Q15" s="18"/>
      <c r="R15" s="18"/>
      <c r="S15" s="18">
        <v>6</v>
      </c>
      <c r="T15" s="56">
        <v>2</v>
      </c>
      <c r="V15" s="55" t="s">
        <v>32</v>
      </c>
      <c r="W15" s="24">
        <v>458</v>
      </c>
      <c r="X15" s="60">
        <f t="shared" si="1"/>
        <v>300.39999999999998</v>
      </c>
      <c r="Y15" s="21" t="s">
        <v>249</v>
      </c>
      <c r="Z15" s="24">
        <v>549</v>
      </c>
      <c r="AA15" s="63">
        <f t="shared" si="0"/>
        <v>841.2</v>
      </c>
    </row>
    <row r="16" spans="3:27" x14ac:dyDescent="0.25">
      <c r="C16" s="55" t="s">
        <v>56</v>
      </c>
      <c r="D16" s="24">
        <v>5</v>
      </c>
      <c r="E16" s="18"/>
      <c r="F16" s="18"/>
      <c r="G16" s="18">
        <v>3</v>
      </c>
      <c r="H16" s="18">
        <v>1</v>
      </c>
      <c r="I16" s="18">
        <v>1</v>
      </c>
      <c r="J16" s="18">
        <v>1</v>
      </c>
      <c r="K16" s="18"/>
      <c r="L16" s="21" t="s">
        <v>30</v>
      </c>
      <c r="M16" s="24">
        <v>6</v>
      </c>
      <c r="N16" s="18"/>
      <c r="O16" s="18">
        <v>3</v>
      </c>
      <c r="P16" s="18"/>
      <c r="Q16" s="18"/>
      <c r="R16" s="18"/>
      <c r="S16" s="18">
        <v>8</v>
      </c>
      <c r="T16" s="56">
        <v>5</v>
      </c>
      <c r="V16" s="55" t="s">
        <v>56</v>
      </c>
      <c r="W16" s="24">
        <v>499</v>
      </c>
      <c r="X16" s="60">
        <f t="shared" si="1"/>
        <v>251.20000000000005</v>
      </c>
      <c r="Y16" s="21" t="s">
        <v>30</v>
      </c>
      <c r="Z16" s="24">
        <v>766</v>
      </c>
      <c r="AA16" s="63">
        <f t="shared" si="0"/>
        <v>580.80000000000007</v>
      </c>
    </row>
    <row r="17" spans="3:27" x14ac:dyDescent="0.25">
      <c r="C17" s="55" t="s">
        <v>36</v>
      </c>
      <c r="D17" s="24">
        <v>4</v>
      </c>
      <c r="E17" s="18">
        <v>1</v>
      </c>
      <c r="F17" s="18">
        <v>1</v>
      </c>
      <c r="G17" s="18">
        <v>1</v>
      </c>
      <c r="H17" s="18">
        <v>1</v>
      </c>
      <c r="I17" s="18">
        <v>1</v>
      </c>
      <c r="J17" s="18">
        <v>1</v>
      </c>
      <c r="K17" s="18">
        <v>1</v>
      </c>
      <c r="L17" s="21" t="s">
        <v>31</v>
      </c>
      <c r="M17" s="24">
        <v>8</v>
      </c>
      <c r="N17" s="18"/>
      <c r="O17" s="18"/>
      <c r="P17" s="18">
        <v>5</v>
      </c>
      <c r="Q17" s="18">
        <v>2</v>
      </c>
      <c r="R17" s="18"/>
      <c r="S17" s="18">
        <v>7</v>
      </c>
      <c r="T17" s="56"/>
      <c r="V17" s="55" t="s">
        <v>36</v>
      </c>
      <c r="W17" s="24">
        <v>415</v>
      </c>
      <c r="X17" s="60">
        <f t="shared" si="1"/>
        <v>352</v>
      </c>
      <c r="Y17" s="21" t="s">
        <v>31</v>
      </c>
      <c r="Z17" s="24">
        <v>857</v>
      </c>
      <c r="AA17" s="63">
        <f t="shared" si="0"/>
        <v>471.60000000000014</v>
      </c>
    </row>
    <row r="18" spans="3:27" x14ac:dyDescent="0.25">
      <c r="C18" s="55" t="s">
        <v>33</v>
      </c>
      <c r="D18" s="24">
        <v>2</v>
      </c>
      <c r="E18" s="18"/>
      <c r="F18" s="18"/>
      <c r="G18" s="18">
        <v>1</v>
      </c>
      <c r="H18" s="18"/>
      <c r="I18" s="18">
        <v>1</v>
      </c>
      <c r="J18" s="18">
        <v>1</v>
      </c>
      <c r="K18" s="18"/>
      <c r="L18" s="21" t="s">
        <v>57</v>
      </c>
      <c r="M18" s="24">
        <v>8</v>
      </c>
      <c r="N18" s="18"/>
      <c r="O18" s="18"/>
      <c r="P18" s="18">
        <v>6</v>
      </c>
      <c r="Q18" s="18">
        <v>5</v>
      </c>
      <c r="R18" s="18">
        <v>2</v>
      </c>
      <c r="S18" s="18">
        <v>1</v>
      </c>
      <c r="T18" s="56"/>
      <c r="V18" s="55" t="s">
        <v>33</v>
      </c>
      <c r="W18" s="24">
        <v>252</v>
      </c>
      <c r="X18" s="60">
        <f>350-W18*1.2</f>
        <v>47.600000000000023</v>
      </c>
      <c r="Y18" s="21" t="s">
        <v>57</v>
      </c>
      <c r="Z18" s="24">
        <v>915</v>
      </c>
      <c r="AA18" s="63">
        <f t="shared" si="0"/>
        <v>402</v>
      </c>
    </row>
    <row r="19" spans="3:27" x14ac:dyDescent="0.25">
      <c r="C19" s="55" t="s">
        <v>62</v>
      </c>
      <c r="D19" s="24">
        <v>4</v>
      </c>
      <c r="E19" s="18"/>
      <c r="F19" s="18">
        <v>1</v>
      </c>
      <c r="G19" s="18">
        <v>2</v>
      </c>
      <c r="H19" s="18"/>
      <c r="I19" s="18">
        <v>2</v>
      </c>
      <c r="J19" s="18">
        <v>2</v>
      </c>
      <c r="K19" s="18"/>
      <c r="L19" s="21" t="s">
        <v>37</v>
      </c>
      <c r="M19" s="24">
        <v>8</v>
      </c>
      <c r="N19" s="18">
        <v>3</v>
      </c>
      <c r="O19" s="18">
        <v>1</v>
      </c>
      <c r="P19" s="18">
        <v>1</v>
      </c>
      <c r="Q19" s="18">
        <v>1</v>
      </c>
      <c r="R19" s="18">
        <v>2</v>
      </c>
      <c r="S19" s="18">
        <v>1</v>
      </c>
      <c r="T19" s="56">
        <v>5</v>
      </c>
      <c r="V19" s="55" t="s">
        <v>62</v>
      </c>
      <c r="W19" s="24">
        <v>555</v>
      </c>
      <c r="X19" s="60">
        <f t="shared" si="1"/>
        <v>184</v>
      </c>
      <c r="Y19" s="21" t="s">
        <v>37</v>
      </c>
      <c r="Z19" s="24">
        <v>820</v>
      </c>
      <c r="AA19" s="63">
        <f t="shared" si="0"/>
        <v>516</v>
      </c>
    </row>
    <row r="20" spans="3:27" x14ac:dyDescent="0.25">
      <c r="C20" s="55" t="s">
        <v>38</v>
      </c>
      <c r="D20" s="24">
        <v>1</v>
      </c>
      <c r="E20" s="18">
        <v>1</v>
      </c>
      <c r="F20" s="18">
        <v>1</v>
      </c>
      <c r="G20" s="18">
        <v>2</v>
      </c>
      <c r="H20" s="18"/>
      <c r="I20" s="18"/>
      <c r="J20" s="18"/>
      <c r="K20" s="18"/>
      <c r="L20" s="21" t="s">
        <v>34</v>
      </c>
      <c r="M20" s="24">
        <v>8</v>
      </c>
      <c r="N20" s="18"/>
      <c r="O20" s="18">
        <v>1</v>
      </c>
      <c r="P20" s="18">
        <v>3</v>
      </c>
      <c r="Q20" s="18"/>
      <c r="R20" s="18">
        <v>5</v>
      </c>
      <c r="S20" s="18">
        <v>5</v>
      </c>
      <c r="T20" s="56"/>
      <c r="V20" s="55" t="s">
        <v>38</v>
      </c>
      <c r="W20" s="24">
        <v>225</v>
      </c>
      <c r="X20" s="60">
        <f>350-W20*1.2</f>
        <v>80</v>
      </c>
      <c r="Y20" s="21" t="s">
        <v>34</v>
      </c>
      <c r="Z20" s="24">
        <v>990</v>
      </c>
      <c r="AA20" s="63">
        <f t="shared" si="0"/>
        <v>312</v>
      </c>
    </row>
    <row r="21" spans="3:27" x14ac:dyDescent="0.25">
      <c r="C21" s="55" t="s">
        <v>39</v>
      </c>
      <c r="D21" s="24">
        <v>2</v>
      </c>
      <c r="E21" s="18">
        <v>1</v>
      </c>
      <c r="F21" s="18">
        <v>2</v>
      </c>
      <c r="G21" s="18">
        <v>4</v>
      </c>
      <c r="H21" s="18">
        <v>1</v>
      </c>
      <c r="I21" s="18">
        <v>1</v>
      </c>
      <c r="J21" s="18"/>
      <c r="K21" s="18"/>
      <c r="L21" s="21" t="s">
        <v>41</v>
      </c>
      <c r="M21" s="24">
        <v>3</v>
      </c>
      <c r="N21" s="18">
        <v>1</v>
      </c>
      <c r="O21" s="18">
        <v>2</v>
      </c>
      <c r="P21" s="18">
        <v>8</v>
      </c>
      <c r="Q21" s="18">
        <v>4</v>
      </c>
      <c r="R21" s="18">
        <v>4</v>
      </c>
      <c r="S21" s="18"/>
      <c r="T21" s="56"/>
      <c r="V21" s="55" t="s">
        <v>39</v>
      </c>
      <c r="W21" s="24">
        <v>484</v>
      </c>
      <c r="X21" s="60">
        <f t="shared" si="1"/>
        <v>269.20000000000005</v>
      </c>
      <c r="Y21" s="21" t="s">
        <v>41</v>
      </c>
      <c r="Z21" s="24">
        <v>943</v>
      </c>
      <c r="AA21" s="63">
        <f t="shared" si="0"/>
        <v>368.40000000000009</v>
      </c>
    </row>
    <row r="22" spans="3:27" x14ac:dyDescent="0.25">
      <c r="C22" s="55" t="s">
        <v>40</v>
      </c>
      <c r="D22" s="24">
        <v>2</v>
      </c>
      <c r="E22" s="18">
        <v>2</v>
      </c>
      <c r="F22" s="18">
        <v>1</v>
      </c>
      <c r="G22" s="18">
        <v>2</v>
      </c>
      <c r="H22" s="18"/>
      <c r="I22" s="18">
        <v>4</v>
      </c>
      <c r="J22" s="18"/>
      <c r="K22" s="18"/>
      <c r="L22" s="21" t="s">
        <v>50</v>
      </c>
      <c r="M22" s="24">
        <v>2</v>
      </c>
      <c r="N22" s="18">
        <v>2</v>
      </c>
      <c r="O22" s="18">
        <v>2</v>
      </c>
      <c r="P22" s="18">
        <v>4</v>
      </c>
      <c r="Q22" s="18">
        <v>8</v>
      </c>
      <c r="R22" s="18">
        <v>4</v>
      </c>
      <c r="S22" s="18"/>
      <c r="T22" s="56"/>
      <c r="V22" s="55" t="s">
        <v>40</v>
      </c>
      <c r="W22" s="24">
        <v>467</v>
      </c>
      <c r="X22" s="60">
        <f t="shared" si="1"/>
        <v>289.60000000000002</v>
      </c>
      <c r="Y22" s="21" t="s">
        <v>50</v>
      </c>
      <c r="Z22" s="24">
        <v>901</v>
      </c>
      <c r="AA22" s="63">
        <f t="shared" si="0"/>
        <v>418.79999999999995</v>
      </c>
    </row>
    <row r="23" spans="3:27" x14ac:dyDescent="0.25">
      <c r="C23" s="55" t="s">
        <v>23</v>
      </c>
      <c r="D23" s="24"/>
      <c r="E23" s="18"/>
      <c r="F23" s="18">
        <v>2</v>
      </c>
      <c r="G23" s="18"/>
      <c r="H23" s="18"/>
      <c r="I23" s="18">
        <v>2</v>
      </c>
      <c r="J23" s="18"/>
      <c r="K23" s="18">
        <v>1</v>
      </c>
      <c r="L23" s="21" t="s">
        <v>48</v>
      </c>
      <c r="M23" s="24">
        <v>2</v>
      </c>
      <c r="N23" s="18">
        <v>2</v>
      </c>
      <c r="O23" s="18">
        <v>1</v>
      </c>
      <c r="P23" s="18">
        <v>4</v>
      </c>
      <c r="Q23" s="18">
        <v>4</v>
      </c>
      <c r="R23" s="18">
        <v>8</v>
      </c>
      <c r="S23" s="18"/>
      <c r="T23" s="56">
        <v>1</v>
      </c>
      <c r="V23" s="55" t="s">
        <v>23</v>
      </c>
      <c r="W23" s="24">
        <v>128</v>
      </c>
      <c r="X23" s="60">
        <f>350-W23*1.2</f>
        <v>196.4</v>
      </c>
      <c r="Y23" s="21" t="s">
        <v>48</v>
      </c>
      <c r="Z23" s="24">
        <v>828</v>
      </c>
      <c r="AA23" s="63">
        <f t="shared" si="0"/>
        <v>506.40000000000009</v>
      </c>
    </row>
    <row r="24" spans="3:27" x14ac:dyDescent="0.25">
      <c r="C24" s="55" t="s">
        <v>42</v>
      </c>
      <c r="D24" s="24"/>
      <c r="E24" s="18"/>
      <c r="F24" s="18">
        <v>4</v>
      </c>
      <c r="G24" s="18"/>
      <c r="H24" s="18"/>
      <c r="I24" s="18">
        <v>3</v>
      </c>
      <c r="J24" s="18"/>
      <c r="K24" s="18">
        <v>4</v>
      </c>
      <c r="L24" s="21" t="s">
        <v>49</v>
      </c>
      <c r="M24" s="24">
        <v>3</v>
      </c>
      <c r="N24" s="18">
        <v>4</v>
      </c>
      <c r="O24" s="18">
        <v>3</v>
      </c>
      <c r="P24" s="18">
        <v>7</v>
      </c>
      <c r="Q24" s="18"/>
      <c r="R24" s="18">
        <v>5</v>
      </c>
      <c r="S24" s="18"/>
      <c r="T24" s="56"/>
      <c r="V24" s="55" t="s">
        <v>42</v>
      </c>
      <c r="W24" s="24">
        <v>340</v>
      </c>
      <c r="X24" s="60">
        <f t="shared" si="1"/>
        <v>442</v>
      </c>
      <c r="Y24" s="21" t="s">
        <v>49</v>
      </c>
      <c r="Z24" s="24">
        <v>792</v>
      </c>
      <c r="AA24" s="63">
        <f t="shared" si="0"/>
        <v>549.6</v>
      </c>
    </row>
    <row r="25" spans="3:27" x14ac:dyDescent="0.25">
      <c r="C25" s="55" t="s">
        <v>45</v>
      </c>
      <c r="D25" s="24"/>
      <c r="E25" s="18"/>
      <c r="F25" s="18">
        <v>4</v>
      </c>
      <c r="G25" s="18"/>
      <c r="H25" s="18">
        <v>1</v>
      </c>
      <c r="I25" s="18">
        <v>5</v>
      </c>
      <c r="J25" s="18"/>
      <c r="K25" s="18">
        <v>1</v>
      </c>
      <c r="L25" s="21" t="s">
        <v>43</v>
      </c>
      <c r="M25" s="24"/>
      <c r="N25" s="18">
        <v>5</v>
      </c>
      <c r="O25" s="18">
        <v>5</v>
      </c>
      <c r="P25" s="18"/>
      <c r="Q25" s="18"/>
      <c r="R25" s="18">
        <v>7</v>
      </c>
      <c r="S25" s="18">
        <v>1</v>
      </c>
      <c r="T25" s="56">
        <v>4</v>
      </c>
      <c r="V25" s="55" t="s">
        <v>45</v>
      </c>
      <c r="W25" s="24">
        <v>301</v>
      </c>
      <c r="X25" s="60">
        <f t="shared" si="1"/>
        <v>488.8</v>
      </c>
      <c r="Y25" s="21" t="s">
        <v>43</v>
      </c>
      <c r="Z25" s="24">
        <v>444</v>
      </c>
      <c r="AA25" s="63">
        <f t="shared" si="0"/>
        <v>967.2</v>
      </c>
    </row>
    <row r="26" spans="3:27" x14ac:dyDescent="0.25">
      <c r="C26" s="55" t="s">
        <v>52</v>
      </c>
      <c r="D26" s="24">
        <v>2</v>
      </c>
      <c r="E26" s="18"/>
      <c r="F26" s="18"/>
      <c r="G26" s="18">
        <v>2</v>
      </c>
      <c r="H26" s="18">
        <v>1</v>
      </c>
      <c r="I26" s="18"/>
      <c r="J26" s="18"/>
      <c r="K26" s="18"/>
      <c r="L26" s="21" t="s">
        <v>44</v>
      </c>
      <c r="M26" s="24"/>
      <c r="N26" s="18"/>
      <c r="O26" s="18">
        <v>7</v>
      </c>
      <c r="P26" s="18"/>
      <c r="Q26" s="18"/>
      <c r="R26" s="18">
        <v>3</v>
      </c>
      <c r="S26" s="18"/>
      <c r="T26" s="56">
        <v>4</v>
      </c>
      <c r="V26" s="55" t="s">
        <v>52</v>
      </c>
      <c r="W26" s="24">
        <v>170</v>
      </c>
      <c r="X26" s="60">
        <f>350-W26*1.2</f>
        <v>146</v>
      </c>
      <c r="Y26" s="21" t="s">
        <v>44</v>
      </c>
      <c r="Z26" s="24">
        <v>546</v>
      </c>
      <c r="AA26" s="63">
        <f t="shared" si="0"/>
        <v>844.80000000000007</v>
      </c>
    </row>
    <row r="27" spans="3:27" x14ac:dyDescent="0.25">
      <c r="C27" s="55" t="s">
        <v>53</v>
      </c>
      <c r="D27" s="24">
        <v>3</v>
      </c>
      <c r="E27" s="18"/>
      <c r="F27" s="18"/>
      <c r="G27" s="18">
        <v>5</v>
      </c>
      <c r="H27" s="18">
        <v>3</v>
      </c>
      <c r="I27" s="18"/>
      <c r="J27" s="18"/>
      <c r="K27" s="18"/>
      <c r="L27" s="21" t="s">
        <v>46</v>
      </c>
      <c r="M27" s="24"/>
      <c r="N27" s="18"/>
      <c r="O27" s="18">
        <v>5</v>
      </c>
      <c r="P27" s="18">
        <v>2</v>
      </c>
      <c r="Q27" s="18">
        <v>1</v>
      </c>
      <c r="R27" s="18">
        <v>8</v>
      </c>
      <c r="S27" s="18"/>
      <c r="T27" s="56">
        <v>6</v>
      </c>
      <c r="V27" s="55" t="s">
        <v>53</v>
      </c>
      <c r="W27" s="24">
        <v>404</v>
      </c>
      <c r="X27" s="60">
        <f t="shared" si="1"/>
        <v>365.20000000000005</v>
      </c>
      <c r="Y27" s="21" t="s">
        <v>46</v>
      </c>
      <c r="Z27" s="24">
        <v>471</v>
      </c>
      <c r="AA27" s="63">
        <f t="shared" si="0"/>
        <v>934.80000000000007</v>
      </c>
    </row>
    <row r="28" spans="3:27" x14ac:dyDescent="0.25">
      <c r="C28" s="55" t="s">
        <v>60</v>
      </c>
      <c r="D28" s="24"/>
      <c r="E28" s="18"/>
      <c r="F28" s="18"/>
      <c r="G28" s="18">
        <v>1</v>
      </c>
      <c r="H28" s="18">
        <v>1</v>
      </c>
      <c r="I28" s="18">
        <v>1</v>
      </c>
      <c r="J28" s="18"/>
      <c r="K28" s="18">
        <v>2</v>
      </c>
      <c r="L28" s="21" t="s">
        <v>47</v>
      </c>
      <c r="M28" s="24"/>
      <c r="N28" s="18"/>
      <c r="O28" s="18">
        <v>4</v>
      </c>
      <c r="P28" s="18"/>
      <c r="Q28" s="18">
        <v>7</v>
      </c>
      <c r="R28" s="18">
        <v>8</v>
      </c>
      <c r="S28" s="18">
        <v>2</v>
      </c>
      <c r="T28" s="56">
        <v>1</v>
      </c>
      <c r="V28" s="55" t="s">
        <v>60</v>
      </c>
      <c r="W28" s="24">
        <v>164</v>
      </c>
      <c r="X28" s="60">
        <f>350-W28*1.2</f>
        <v>153.20000000000002</v>
      </c>
      <c r="Y28" s="21" t="s">
        <v>47</v>
      </c>
      <c r="Z28" s="24">
        <v>430</v>
      </c>
      <c r="AA28" s="63">
        <f t="shared" si="0"/>
        <v>984</v>
      </c>
    </row>
    <row r="29" spans="3:27" x14ac:dyDescent="0.25">
      <c r="C29" s="55" t="s">
        <v>63</v>
      </c>
      <c r="D29" s="24"/>
      <c r="E29" s="18"/>
      <c r="F29" s="18">
        <v>2</v>
      </c>
      <c r="G29" s="18">
        <v>1</v>
      </c>
      <c r="H29" s="18">
        <v>4</v>
      </c>
      <c r="I29" s="18">
        <v>2</v>
      </c>
      <c r="J29" s="18"/>
      <c r="K29" s="18">
        <v>2</v>
      </c>
      <c r="L29" s="21" t="s">
        <v>51</v>
      </c>
      <c r="M29" s="24">
        <v>5</v>
      </c>
      <c r="N29" s="18">
        <v>3</v>
      </c>
      <c r="O29" s="18"/>
      <c r="P29" s="18">
        <v>8</v>
      </c>
      <c r="Q29" s="18">
        <v>6</v>
      </c>
      <c r="R29" s="18"/>
      <c r="S29" s="18"/>
      <c r="T29" s="56"/>
      <c r="V29" s="55" t="s">
        <v>63</v>
      </c>
      <c r="W29" s="24">
        <v>399</v>
      </c>
      <c r="X29" s="60">
        <f t="shared" si="1"/>
        <v>371.20000000000005</v>
      </c>
      <c r="Y29" s="21" t="s">
        <v>51</v>
      </c>
      <c r="Z29" s="24">
        <v>808</v>
      </c>
      <c r="AA29" s="63">
        <f t="shared" si="0"/>
        <v>530.40000000000009</v>
      </c>
    </row>
    <row r="30" spans="3:27" x14ac:dyDescent="0.25">
      <c r="C30" s="55" t="s">
        <v>65</v>
      </c>
      <c r="D30" s="24"/>
      <c r="E30" s="18"/>
      <c r="F30" s="18"/>
      <c r="G30" s="18">
        <v>1</v>
      </c>
      <c r="H30" s="18">
        <v>1</v>
      </c>
      <c r="I30" s="18">
        <v>1</v>
      </c>
      <c r="J30" s="18">
        <v>3</v>
      </c>
      <c r="K30" s="18">
        <v>5</v>
      </c>
      <c r="L30" s="21" t="s">
        <v>54</v>
      </c>
      <c r="M30" s="24"/>
      <c r="N30" s="18"/>
      <c r="O30" s="18">
        <v>6</v>
      </c>
      <c r="P30" s="18">
        <v>1</v>
      </c>
      <c r="Q30" s="18">
        <v>4</v>
      </c>
      <c r="R30" s="18">
        <v>6</v>
      </c>
      <c r="S30" s="18"/>
      <c r="T30" s="56">
        <v>5</v>
      </c>
      <c r="V30" s="55" t="s">
        <v>65</v>
      </c>
      <c r="W30" s="24">
        <v>415</v>
      </c>
      <c r="X30" s="60">
        <f t="shared" si="1"/>
        <v>352</v>
      </c>
      <c r="Y30" s="21" t="s">
        <v>54</v>
      </c>
      <c r="Z30" s="24">
        <v>666</v>
      </c>
      <c r="AA30" s="63">
        <f t="shared" si="0"/>
        <v>700.80000000000007</v>
      </c>
    </row>
    <row r="31" spans="3:27" x14ac:dyDescent="0.25">
      <c r="C31" s="55" t="s">
        <v>64</v>
      </c>
      <c r="D31" s="24">
        <v>1</v>
      </c>
      <c r="E31" s="18">
        <v>1</v>
      </c>
      <c r="F31" s="18"/>
      <c r="G31" s="18"/>
      <c r="H31" s="18">
        <v>2</v>
      </c>
      <c r="I31" s="18"/>
      <c r="J31" s="18">
        <v>1</v>
      </c>
      <c r="K31" s="18"/>
      <c r="L31" s="21" t="s">
        <v>55</v>
      </c>
      <c r="M31" s="24"/>
      <c r="N31" s="18"/>
      <c r="O31" s="18">
        <v>2</v>
      </c>
      <c r="P31" s="18">
        <v>4</v>
      </c>
      <c r="Q31" s="18">
        <v>6</v>
      </c>
      <c r="R31" s="18">
        <v>4</v>
      </c>
      <c r="S31" s="18">
        <v>4</v>
      </c>
      <c r="T31" s="56">
        <v>2</v>
      </c>
      <c r="V31" s="55" t="s">
        <v>64</v>
      </c>
      <c r="W31" s="24">
        <v>210</v>
      </c>
      <c r="X31" s="60">
        <f>350-W31*1.2</f>
        <v>98</v>
      </c>
      <c r="Y31" s="21" t="s">
        <v>55</v>
      </c>
      <c r="Z31" s="24">
        <v>691</v>
      </c>
      <c r="AA31" s="63">
        <f t="shared" si="0"/>
        <v>670.80000000000007</v>
      </c>
    </row>
    <row r="32" spans="3:27" x14ac:dyDescent="0.25">
      <c r="C32" s="55" t="s">
        <v>59</v>
      </c>
      <c r="D32" s="24">
        <v>2</v>
      </c>
      <c r="E32" s="18">
        <v>2</v>
      </c>
      <c r="F32" s="18"/>
      <c r="G32" s="18"/>
      <c r="H32" s="18">
        <v>5</v>
      </c>
      <c r="I32" s="18"/>
      <c r="J32" s="18">
        <v>2</v>
      </c>
      <c r="K32" s="18"/>
      <c r="L32" s="21" t="s">
        <v>66</v>
      </c>
      <c r="M32" s="24">
        <v>2</v>
      </c>
      <c r="N32" s="18"/>
      <c r="O32" s="18"/>
      <c r="P32" s="18">
        <v>3</v>
      </c>
      <c r="Q32" s="18">
        <v>3</v>
      </c>
      <c r="R32" s="18">
        <v>3</v>
      </c>
      <c r="S32" s="18">
        <v>3</v>
      </c>
      <c r="T32" s="56">
        <v>8</v>
      </c>
      <c r="V32" s="55" t="s">
        <v>59</v>
      </c>
      <c r="W32" s="24">
        <v>513</v>
      </c>
      <c r="X32" s="60">
        <f>850-W32*1.2</f>
        <v>234.39999999999998</v>
      </c>
      <c r="Y32" s="21" t="s">
        <v>66</v>
      </c>
      <c r="Z32" s="24">
        <v>777</v>
      </c>
      <c r="AA32" s="63">
        <f t="shared" si="0"/>
        <v>567.6</v>
      </c>
    </row>
    <row r="33" spans="3:27" x14ac:dyDescent="0.25">
      <c r="C33" s="12"/>
      <c r="D33" s="5"/>
      <c r="E33" s="5"/>
      <c r="F33" s="5"/>
      <c r="G33" s="5"/>
      <c r="H33" s="5"/>
      <c r="I33" s="5"/>
      <c r="J33" s="5"/>
      <c r="K33" s="5"/>
      <c r="L33" s="21" t="s">
        <v>58</v>
      </c>
      <c r="M33" s="24">
        <v>4</v>
      </c>
      <c r="N33" s="18">
        <v>7</v>
      </c>
      <c r="O33" s="18"/>
      <c r="P33" s="18">
        <v>1</v>
      </c>
      <c r="Q33" s="18">
        <v>8</v>
      </c>
      <c r="R33" s="18"/>
      <c r="S33" s="18">
        <v>2</v>
      </c>
      <c r="T33" s="56"/>
      <c r="V33" s="12"/>
      <c r="W33" s="5"/>
      <c r="X33" s="5"/>
      <c r="Y33" s="21" t="s">
        <v>58</v>
      </c>
      <c r="Z33" s="24">
        <v>643</v>
      </c>
      <c r="AA33" s="63">
        <f t="shared" si="0"/>
        <v>728.4</v>
      </c>
    </row>
    <row r="34" spans="3:27" ht="15.75" thickBot="1" x14ac:dyDescent="0.3">
      <c r="C34" s="57"/>
      <c r="D34" s="26"/>
      <c r="E34" s="27"/>
      <c r="F34" s="27"/>
      <c r="G34" s="27"/>
      <c r="H34" s="27"/>
      <c r="I34" s="27"/>
      <c r="J34" s="27"/>
      <c r="K34" s="28"/>
      <c r="L34" s="22" t="s">
        <v>61</v>
      </c>
      <c r="M34" s="25">
        <v>7</v>
      </c>
      <c r="N34" s="19">
        <v>2</v>
      </c>
      <c r="O34" s="19"/>
      <c r="P34" s="19">
        <v>3</v>
      </c>
      <c r="Q34" s="19">
        <v>5</v>
      </c>
      <c r="R34" s="19"/>
      <c r="S34" s="19">
        <v>2</v>
      </c>
      <c r="T34" s="58">
        <v>3</v>
      </c>
      <c r="V34" s="57"/>
      <c r="W34" s="26"/>
      <c r="X34" s="27"/>
      <c r="Y34" s="22" t="s">
        <v>61</v>
      </c>
      <c r="Z34" s="25">
        <v>689</v>
      </c>
      <c r="AA34" s="62">
        <f>1500-Z34*1.2</f>
        <v>673.2</v>
      </c>
    </row>
    <row r="36" spans="3:27" x14ac:dyDescent="0.25">
      <c r="C36" t="s">
        <v>427</v>
      </c>
      <c r="V36" t="s">
        <v>817</v>
      </c>
    </row>
    <row r="37" spans="3:27" x14ac:dyDescent="0.25">
      <c r="C37" t="s">
        <v>428</v>
      </c>
      <c r="V37" t="s">
        <v>815</v>
      </c>
    </row>
    <row r="38" spans="3:27" x14ac:dyDescent="0.25">
      <c r="C38" t="s">
        <v>429</v>
      </c>
      <c r="V38" t="s">
        <v>816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BFF8C-7129-4890-A003-7F5C76E14B60}">
  <dimension ref="B7:M37"/>
  <sheetViews>
    <sheetView topLeftCell="A3" workbookViewId="0">
      <selection activeCell="M20" sqref="M20"/>
    </sheetView>
  </sheetViews>
  <sheetFormatPr baseColWidth="10" defaultRowHeight="15" x14ac:dyDescent="0.25"/>
  <cols>
    <col min="3" max="3" width="22.42578125" customWidth="1"/>
    <col min="8" max="8" width="16.85546875" customWidth="1"/>
    <col min="9" max="9" width="23.140625" customWidth="1"/>
    <col min="12" max="12" width="16.7109375" customWidth="1"/>
  </cols>
  <sheetData>
    <row r="7" spans="2:13" ht="15.75" thickBot="1" x14ac:dyDescent="0.3"/>
    <row r="8" spans="2:13" x14ac:dyDescent="0.25">
      <c r="B8" s="31" t="s">
        <v>666</v>
      </c>
      <c r="C8" s="32" t="s">
        <v>665</v>
      </c>
      <c r="H8" t="s">
        <v>12</v>
      </c>
      <c r="I8" t="s">
        <v>126</v>
      </c>
      <c r="L8" t="s">
        <v>16</v>
      </c>
      <c r="M8" t="s">
        <v>145</v>
      </c>
    </row>
    <row r="9" spans="2:13" x14ac:dyDescent="0.25">
      <c r="B9" s="12"/>
      <c r="C9" s="29"/>
      <c r="H9" t="s">
        <v>14</v>
      </c>
      <c r="I9" t="s">
        <v>126</v>
      </c>
      <c r="L9" t="s">
        <v>17</v>
      </c>
      <c r="M9" t="s">
        <v>145</v>
      </c>
    </row>
    <row r="10" spans="2:13" x14ac:dyDescent="0.25">
      <c r="B10" s="12" t="s">
        <v>126</v>
      </c>
      <c r="C10" s="29" t="s">
        <v>123</v>
      </c>
      <c r="H10" t="s">
        <v>22</v>
      </c>
      <c r="I10" t="s">
        <v>126</v>
      </c>
      <c r="L10" t="s">
        <v>18</v>
      </c>
      <c r="M10" t="s">
        <v>145</v>
      </c>
    </row>
    <row r="11" spans="2:13" x14ac:dyDescent="0.25">
      <c r="B11" s="12" t="s">
        <v>127</v>
      </c>
      <c r="C11" s="29" t="s">
        <v>123</v>
      </c>
      <c r="H11" t="s">
        <v>13</v>
      </c>
      <c r="I11" t="s">
        <v>126</v>
      </c>
      <c r="L11" t="s">
        <v>19</v>
      </c>
      <c r="M11" t="s">
        <v>145</v>
      </c>
    </row>
    <row r="12" spans="2:13" x14ac:dyDescent="0.25">
      <c r="B12" s="12" t="s">
        <v>140</v>
      </c>
      <c r="C12" s="29" t="s">
        <v>123</v>
      </c>
      <c r="H12" t="s">
        <v>15</v>
      </c>
      <c r="I12" t="s">
        <v>126</v>
      </c>
      <c r="L12" t="s">
        <v>20</v>
      </c>
      <c r="M12" t="s">
        <v>145</v>
      </c>
    </row>
    <row r="13" spans="2:13" x14ac:dyDescent="0.25">
      <c r="B13" s="12"/>
      <c r="C13" s="29"/>
      <c r="H13" t="s">
        <v>25</v>
      </c>
      <c r="I13" t="s">
        <v>127</v>
      </c>
      <c r="L13" t="s">
        <v>21</v>
      </c>
      <c r="M13" t="s">
        <v>145</v>
      </c>
    </row>
    <row r="14" spans="2:13" x14ac:dyDescent="0.25">
      <c r="B14" s="12" t="s">
        <v>129</v>
      </c>
      <c r="C14" s="29" t="s">
        <v>123</v>
      </c>
      <c r="H14" t="s">
        <v>24</v>
      </c>
      <c r="I14" t="s">
        <v>127</v>
      </c>
      <c r="L14" t="s">
        <v>425</v>
      </c>
      <c r="M14" t="s">
        <v>145</v>
      </c>
    </row>
    <row r="15" spans="2:13" x14ac:dyDescent="0.25">
      <c r="B15" s="12" t="s">
        <v>130</v>
      </c>
      <c r="C15" s="29" t="s">
        <v>123</v>
      </c>
      <c r="H15" t="s">
        <v>28</v>
      </c>
      <c r="I15" t="s">
        <v>134</v>
      </c>
      <c r="L15" t="s">
        <v>26</v>
      </c>
      <c r="M15" t="s">
        <v>127</v>
      </c>
    </row>
    <row r="16" spans="2:13" x14ac:dyDescent="0.25">
      <c r="B16" s="12" t="s">
        <v>156</v>
      </c>
      <c r="C16" s="29" t="s">
        <v>123</v>
      </c>
      <c r="H16" t="s">
        <v>29</v>
      </c>
      <c r="I16" t="s">
        <v>134</v>
      </c>
      <c r="L16" t="s">
        <v>27</v>
      </c>
      <c r="M16" t="s">
        <v>127</v>
      </c>
    </row>
    <row r="17" spans="2:13" x14ac:dyDescent="0.25">
      <c r="B17" s="12"/>
      <c r="C17" s="29"/>
      <c r="H17" t="s">
        <v>35</v>
      </c>
      <c r="I17" t="s">
        <v>138</v>
      </c>
      <c r="L17" t="s">
        <v>248</v>
      </c>
      <c r="M17" t="s">
        <v>667</v>
      </c>
    </row>
    <row r="18" spans="2:13" x14ac:dyDescent="0.25">
      <c r="B18" s="12" t="s">
        <v>128</v>
      </c>
      <c r="C18" s="29" t="s">
        <v>122</v>
      </c>
      <c r="H18" t="s">
        <v>32</v>
      </c>
      <c r="I18" t="s">
        <v>131</v>
      </c>
      <c r="L18" t="s">
        <v>249</v>
      </c>
      <c r="M18" t="s">
        <v>264</v>
      </c>
    </row>
    <row r="19" spans="2:13" x14ac:dyDescent="0.25">
      <c r="B19" s="12" t="s">
        <v>131</v>
      </c>
      <c r="C19" s="29" t="s">
        <v>122</v>
      </c>
      <c r="H19" t="s">
        <v>56</v>
      </c>
      <c r="I19" t="s">
        <v>129</v>
      </c>
      <c r="L19" t="s">
        <v>30</v>
      </c>
      <c r="M19" t="s">
        <v>137</v>
      </c>
    </row>
    <row r="20" spans="2:13" x14ac:dyDescent="0.25">
      <c r="B20" s="12" t="s">
        <v>133</v>
      </c>
      <c r="C20" s="29" t="s">
        <v>122</v>
      </c>
      <c r="H20" t="s">
        <v>36</v>
      </c>
      <c r="I20" t="s">
        <v>132</v>
      </c>
      <c r="L20" t="s">
        <v>31</v>
      </c>
      <c r="M20" t="s">
        <v>139</v>
      </c>
    </row>
    <row r="21" spans="2:13" x14ac:dyDescent="0.25">
      <c r="B21" s="12" t="s">
        <v>134</v>
      </c>
      <c r="C21" s="29" t="s">
        <v>122</v>
      </c>
      <c r="H21" t="s">
        <v>33</v>
      </c>
      <c r="I21" t="s">
        <v>130</v>
      </c>
      <c r="L21" t="s">
        <v>57</v>
      </c>
      <c r="M21" t="s">
        <v>159</v>
      </c>
    </row>
    <row r="22" spans="2:13" x14ac:dyDescent="0.25">
      <c r="B22" s="12"/>
      <c r="C22" s="29"/>
      <c r="H22" t="s">
        <v>62</v>
      </c>
      <c r="I22" t="s">
        <v>130</v>
      </c>
      <c r="L22" t="s">
        <v>37</v>
      </c>
      <c r="M22" t="s">
        <v>161</v>
      </c>
    </row>
    <row r="23" spans="2:13" x14ac:dyDescent="0.25">
      <c r="B23" s="12" t="s">
        <v>135</v>
      </c>
      <c r="C23" s="29" t="s">
        <v>124</v>
      </c>
      <c r="H23" t="s">
        <v>38</v>
      </c>
      <c r="I23" t="s">
        <v>135</v>
      </c>
      <c r="L23" t="s">
        <v>34</v>
      </c>
      <c r="M23" t="s">
        <v>130</v>
      </c>
    </row>
    <row r="24" spans="2:13" x14ac:dyDescent="0.25">
      <c r="B24" s="12" t="s">
        <v>136</v>
      </c>
      <c r="C24" s="29" t="s">
        <v>124</v>
      </c>
      <c r="H24" t="s">
        <v>39</v>
      </c>
      <c r="I24" t="s">
        <v>441</v>
      </c>
      <c r="L24" t="s">
        <v>41</v>
      </c>
      <c r="M24" t="s">
        <v>441</v>
      </c>
    </row>
    <row r="25" spans="2:13" x14ac:dyDescent="0.25">
      <c r="B25" s="12" t="s">
        <v>132</v>
      </c>
      <c r="C25" s="29" t="s">
        <v>124</v>
      </c>
      <c r="H25" t="s">
        <v>40</v>
      </c>
      <c r="I25" t="s">
        <v>142</v>
      </c>
      <c r="L25" t="s">
        <v>50</v>
      </c>
      <c r="M25" t="s">
        <v>141</v>
      </c>
    </row>
    <row r="26" spans="2:13" ht="15.75" thickBot="1" x14ac:dyDescent="0.3">
      <c r="B26" s="14" t="s">
        <v>160</v>
      </c>
      <c r="C26" s="30" t="s">
        <v>124</v>
      </c>
      <c r="H26" t="s">
        <v>23</v>
      </c>
      <c r="I26" t="s">
        <v>165</v>
      </c>
      <c r="L26" t="s">
        <v>48</v>
      </c>
      <c r="M26" t="s">
        <v>163</v>
      </c>
    </row>
    <row r="27" spans="2:13" x14ac:dyDescent="0.25">
      <c r="H27" t="s">
        <v>42</v>
      </c>
      <c r="I27" t="s">
        <v>143</v>
      </c>
      <c r="L27" t="s">
        <v>49</v>
      </c>
      <c r="M27" t="s">
        <v>475</v>
      </c>
    </row>
    <row r="28" spans="2:13" x14ac:dyDescent="0.25">
      <c r="H28" t="s">
        <v>45</v>
      </c>
      <c r="I28" t="s">
        <v>442</v>
      </c>
      <c r="L28" t="s">
        <v>43</v>
      </c>
      <c r="M28" t="s">
        <v>143</v>
      </c>
    </row>
    <row r="29" spans="2:13" x14ac:dyDescent="0.25">
      <c r="H29" t="s">
        <v>52</v>
      </c>
      <c r="I29" t="s">
        <v>128</v>
      </c>
      <c r="L29" t="s">
        <v>44</v>
      </c>
      <c r="M29" t="s">
        <v>143</v>
      </c>
    </row>
    <row r="30" spans="2:13" x14ac:dyDescent="0.25">
      <c r="H30" t="s">
        <v>53</v>
      </c>
      <c r="I30" t="s">
        <v>157</v>
      </c>
      <c r="L30" t="s">
        <v>46</v>
      </c>
      <c r="M30" t="s">
        <v>144</v>
      </c>
    </row>
    <row r="31" spans="2:13" x14ac:dyDescent="0.25">
      <c r="H31" t="s">
        <v>60</v>
      </c>
      <c r="I31" t="s">
        <v>136</v>
      </c>
      <c r="L31" t="s">
        <v>47</v>
      </c>
      <c r="M31" t="s">
        <v>144</v>
      </c>
    </row>
    <row r="32" spans="2:13" x14ac:dyDescent="0.25">
      <c r="H32" t="s">
        <v>63</v>
      </c>
      <c r="I32" t="s">
        <v>564</v>
      </c>
      <c r="L32" t="s">
        <v>51</v>
      </c>
      <c r="M32" t="s">
        <v>158</v>
      </c>
    </row>
    <row r="33" spans="8:13" x14ac:dyDescent="0.25">
      <c r="H33" t="s">
        <v>511</v>
      </c>
      <c r="I33" t="s">
        <v>571</v>
      </c>
      <c r="L33" t="s">
        <v>54</v>
      </c>
      <c r="M33" t="s">
        <v>565</v>
      </c>
    </row>
    <row r="34" spans="8:13" x14ac:dyDescent="0.25">
      <c r="H34" t="s">
        <v>64</v>
      </c>
      <c r="I34" t="s">
        <v>575</v>
      </c>
      <c r="L34" t="s">
        <v>55</v>
      </c>
      <c r="M34" t="s">
        <v>162</v>
      </c>
    </row>
    <row r="35" spans="8:13" x14ac:dyDescent="0.25">
      <c r="H35" t="s">
        <v>59</v>
      </c>
      <c r="I35" t="s">
        <v>575</v>
      </c>
      <c r="L35" t="s">
        <v>531</v>
      </c>
      <c r="M35" t="s">
        <v>572</v>
      </c>
    </row>
    <row r="36" spans="8:13" x14ac:dyDescent="0.25">
      <c r="L36" t="s">
        <v>58</v>
      </c>
      <c r="M36" t="s">
        <v>576</v>
      </c>
    </row>
    <row r="37" spans="8:13" x14ac:dyDescent="0.25">
      <c r="L37" t="s">
        <v>61</v>
      </c>
      <c r="M37" t="s">
        <v>574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BA31B-34F2-4D5A-A831-55DE5F7AA0BE}">
  <dimension ref="B5:B16"/>
  <sheetViews>
    <sheetView workbookViewId="0">
      <selection activeCell="B6" sqref="B6"/>
    </sheetView>
  </sheetViews>
  <sheetFormatPr baseColWidth="10" defaultRowHeight="15" x14ac:dyDescent="0.25"/>
  <cols>
    <col min="2" max="2" width="211.140625" customWidth="1"/>
  </cols>
  <sheetData>
    <row r="5" spans="2:2" x14ac:dyDescent="0.25">
      <c r="B5" t="s">
        <v>668</v>
      </c>
    </row>
    <row r="6" spans="2:2" x14ac:dyDescent="0.25">
      <c r="B6" t="s">
        <v>255</v>
      </c>
    </row>
    <row r="8" spans="2:2" x14ac:dyDescent="0.25">
      <c r="B8" t="s">
        <v>552</v>
      </c>
    </row>
    <row r="9" spans="2:2" x14ac:dyDescent="0.25">
      <c r="B9" t="s">
        <v>191</v>
      </c>
    </row>
    <row r="10" spans="2:2" x14ac:dyDescent="0.25">
      <c r="B10" t="s">
        <v>279</v>
      </c>
    </row>
    <row r="12" spans="2:2" x14ac:dyDescent="0.25">
      <c r="B12" t="s">
        <v>187</v>
      </c>
    </row>
    <row r="13" spans="2:2" x14ac:dyDescent="0.25">
      <c r="B13" t="s">
        <v>382</v>
      </c>
    </row>
    <row r="14" spans="2:2" x14ac:dyDescent="0.25">
      <c r="B14" t="s">
        <v>186</v>
      </c>
    </row>
    <row r="16" spans="2:2" x14ac:dyDescent="0.25">
      <c r="B16" t="s">
        <v>551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473E4-0687-4678-8E03-7C8EB428357B}">
  <dimension ref="B6:U36"/>
  <sheetViews>
    <sheetView workbookViewId="0">
      <selection activeCell="U11" sqref="U11"/>
    </sheetView>
  </sheetViews>
  <sheetFormatPr baseColWidth="10" defaultRowHeight="15" x14ac:dyDescent="0.25"/>
  <cols>
    <col min="2" max="2" width="5.140625" customWidth="1"/>
    <col min="3" max="3" width="14.28515625" customWidth="1"/>
    <col min="5" max="5" width="5.140625" customWidth="1"/>
    <col min="6" max="6" width="11.85546875" bestFit="1" customWidth="1"/>
    <col min="7" max="7" width="11.85546875" customWidth="1"/>
    <col min="8" max="8" width="4.5703125" customWidth="1"/>
    <col min="9" max="10" width="11.85546875" customWidth="1"/>
    <col min="11" max="11" width="4.42578125" customWidth="1"/>
    <col min="14" max="14" width="4.42578125" customWidth="1"/>
    <col min="17" max="17" width="4.140625" customWidth="1"/>
    <col min="18" max="19" width="12.7109375" customWidth="1"/>
    <col min="20" max="20" width="4.7109375" customWidth="1"/>
  </cols>
  <sheetData>
    <row r="6" spans="2:21" x14ac:dyDescent="0.25">
      <c r="C6" t="s">
        <v>12</v>
      </c>
      <c r="F6" t="s">
        <v>14</v>
      </c>
      <c r="I6" t="s">
        <v>22</v>
      </c>
      <c r="L6" t="s">
        <v>16</v>
      </c>
      <c r="O6" t="s">
        <v>17</v>
      </c>
      <c r="R6" t="s">
        <v>18</v>
      </c>
      <c r="U6" t="s">
        <v>19</v>
      </c>
    </row>
    <row r="7" spans="2:21" x14ac:dyDescent="0.25">
      <c r="B7">
        <v>1</v>
      </c>
      <c r="C7" t="s">
        <v>67</v>
      </c>
      <c r="E7">
        <v>1</v>
      </c>
      <c r="F7" t="s">
        <v>76</v>
      </c>
      <c r="H7">
        <v>1</v>
      </c>
      <c r="I7" t="s">
        <v>83</v>
      </c>
      <c r="K7">
        <v>1</v>
      </c>
      <c r="L7" t="s">
        <v>91</v>
      </c>
      <c r="N7">
        <v>1</v>
      </c>
      <c r="O7" t="s">
        <v>211</v>
      </c>
      <c r="Q7">
        <v>1</v>
      </c>
      <c r="R7" t="s">
        <v>212</v>
      </c>
      <c r="T7">
        <v>1</v>
      </c>
      <c r="U7" t="s">
        <v>213</v>
      </c>
    </row>
    <row r="8" spans="2:21" x14ac:dyDescent="0.25">
      <c r="B8">
        <v>1</v>
      </c>
      <c r="C8" t="s">
        <v>69</v>
      </c>
      <c r="E8">
        <v>1</v>
      </c>
      <c r="F8" t="s">
        <v>77</v>
      </c>
      <c r="H8">
        <v>1</v>
      </c>
      <c r="I8" t="s">
        <v>84</v>
      </c>
      <c r="K8">
        <v>2</v>
      </c>
      <c r="L8" t="s">
        <v>595</v>
      </c>
      <c r="N8">
        <v>2</v>
      </c>
      <c r="O8" t="s">
        <v>609</v>
      </c>
      <c r="Q8">
        <v>2</v>
      </c>
      <c r="R8" t="s">
        <v>190</v>
      </c>
      <c r="T8">
        <v>2</v>
      </c>
      <c r="U8" t="s">
        <v>600</v>
      </c>
    </row>
    <row r="9" spans="2:21" x14ac:dyDescent="0.25">
      <c r="B9">
        <v>3</v>
      </c>
      <c r="C9" t="s">
        <v>68</v>
      </c>
      <c r="E9">
        <v>5</v>
      </c>
      <c r="F9" t="s">
        <v>78</v>
      </c>
      <c r="H9">
        <v>5</v>
      </c>
      <c r="I9" t="s">
        <v>85</v>
      </c>
      <c r="K9">
        <v>5</v>
      </c>
      <c r="L9" t="s">
        <v>208</v>
      </c>
      <c r="N9">
        <v>5</v>
      </c>
      <c r="O9" t="s">
        <v>217</v>
      </c>
      <c r="Q9">
        <v>5</v>
      </c>
      <c r="R9" t="s">
        <v>218</v>
      </c>
      <c r="T9">
        <v>5</v>
      </c>
      <c r="U9" t="s">
        <v>219</v>
      </c>
    </row>
    <row r="10" spans="2:21" x14ac:dyDescent="0.25">
      <c r="B10">
        <v>5</v>
      </c>
      <c r="C10" s="33" t="s">
        <v>70</v>
      </c>
      <c r="E10">
        <v>7</v>
      </c>
      <c r="F10" t="s">
        <v>79</v>
      </c>
      <c r="H10">
        <v>7</v>
      </c>
      <c r="I10" t="s">
        <v>86</v>
      </c>
      <c r="K10">
        <v>8</v>
      </c>
      <c r="L10" t="s">
        <v>95</v>
      </c>
      <c r="N10">
        <v>8</v>
      </c>
      <c r="O10" t="s">
        <v>96</v>
      </c>
      <c r="Q10">
        <v>8</v>
      </c>
      <c r="R10" t="s">
        <v>97</v>
      </c>
      <c r="T10">
        <v>8</v>
      </c>
      <c r="U10" t="s">
        <v>166</v>
      </c>
    </row>
    <row r="11" spans="2:21" x14ac:dyDescent="0.25">
      <c r="B11">
        <v>8</v>
      </c>
      <c r="C11" s="33" t="s">
        <v>769</v>
      </c>
      <c r="E11">
        <v>8</v>
      </c>
      <c r="F11" s="33" t="s">
        <v>770</v>
      </c>
      <c r="H11">
        <v>8</v>
      </c>
      <c r="I11" s="33" t="s">
        <v>771</v>
      </c>
      <c r="K11">
        <v>10</v>
      </c>
      <c r="L11" t="s">
        <v>92</v>
      </c>
      <c r="N11">
        <v>10</v>
      </c>
      <c r="O11" t="s">
        <v>214</v>
      </c>
      <c r="Q11">
        <v>10</v>
      </c>
      <c r="R11" t="s">
        <v>215</v>
      </c>
      <c r="T11">
        <v>10</v>
      </c>
      <c r="U11" t="s">
        <v>216</v>
      </c>
    </row>
    <row r="12" spans="2:21" x14ac:dyDescent="0.25">
      <c r="B12">
        <v>12</v>
      </c>
      <c r="C12" t="s">
        <v>72</v>
      </c>
      <c r="E12">
        <v>10</v>
      </c>
      <c r="F12" t="s">
        <v>669</v>
      </c>
      <c r="H12">
        <v>10</v>
      </c>
      <c r="I12" t="s">
        <v>87</v>
      </c>
      <c r="K12">
        <v>12</v>
      </c>
      <c r="L12" t="s">
        <v>94</v>
      </c>
      <c r="N12">
        <v>12</v>
      </c>
      <c r="O12" t="s">
        <v>220</v>
      </c>
      <c r="Q12">
        <v>12</v>
      </c>
      <c r="R12" t="s">
        <v>221</v>
      </c>
      <c r="T12">
        <v>12</v>
      </c>
      <c r="U12" t="s">
        <v>222</v>
      </c>
    </row>
    <row r="13" spans="2:21" x14ac:dyDescent="0.25">
      <c r="B13">
        <v>13</v>
      </c>
      <c r="C13" t="s">
        <v>73</v>
      </c>
      <c r="E13">
        <v>12</v>
      </c>
      <c r="F13" t="s">
        <v>80</v>
      </c>
      <c r="H13">
        <v>12</v>
      </c>
      <c r="I13" t="s">
        <v>88</v>
      </c>
      <c r="K13">
        <v>14</v>
      </c>
      <c r="L13" t="s">
        <v>722</v>
      </c>
      <c r="N13">
        <v>14</v>
      </c>
      <c r="O13" t="s">
        <v>722</v>
      </c>
      <c r="Q13">
        <v>14</v>
      </c>
      <c r="R13" t="s">
        <v>722</v>
      </c>
      <c r="T13">
        <v>14</v>
      </c>
      <c r="U13" t="s">
        <v>722</v>
      </c>
    </row>
    <row r="14" spans="2:21" x14ac:dyDescent="0.25">
      <c r="B14">
        <v>14</v>
      </c>
      <c r="C14" t="s">
        <v>74</v>
      </c>
      <c r="E14">
        <v>15</v>
      </c>
      <c r="F14" s="35" t="s">
        <v>721</v>
      </c>
      <c r="H14">
        <v>15</v>
      </c>
      <c r="I14" s="35" t="s">
        <v>721</v>
      </c>
      <c r="K14">
        <v>15</v>
      </c>
      <c r="L14" t="s">
        <v>98</v>
      </c>
      <c r="N14">
        <v>15</v>
      </c>
      <c r="O14" t="s">
        <v>223</v>
      </c>
      <c r="Q14">
        <v>15</v>
      </c>
      <c r="R14" t="s">
        <v>224</v>
      </c>
      <c r="T14">
        <v>15</v>
      </c>
      <c r="U14" t="s">
        <v>278</v>
      </c>
    </row>
    <row r="15" spans="2:21" x14ac:dyDescent="0.25">
      <c r="B15">
        <v>15</v>
      </c>
      <c r="C15" t="s">
        <v>75</v>
      </c>
      <c r="E15">
        <v>19</v>
      </c>
      <c r="F15" t="s">
        <v>81</v>
      </c>
      <c r="H15">
        <v>19</v>
      </c>
      <c r="I15" t="s">
        <v>89</v>
      </c>
      <c r="K15">
        <v>16</v>
      </c>
      <c r="L15" t="s">
        <v>99</v>
      </c>
      <c r="N15">
        <v>16</v>
      </c>
      <c r="O15" t="s">
        <v>227</v>
      </c>
      <c r="Q15">
        <v>16</v>
      </c>
      <c r="R15" t="s">
        <v>225</v>
      </c>
      <c r="T15">
        <v>16</v>
      </c>
      <c r="U15" t="s">
        <v>226</v>
      </c>
    </row>
    <row r="16" spans="2:21" x14ac:dyDescent="0.25">
      <c r="E16">
        <v>20</v>
      </c>
      <c r="F16" t="s">
        <v>82</v>
      </c>
      <c r="H16">
        <v>20</v>
      </c>
      <c r="I16" t="s">
        <v>90</v>
      </c>
      <c r="K16">
        <v>20</v>
      </c>
      <c r="L16" t="s">
        <v>612</v>
      </c>
      <c r="N16">
        <v>20</v>
      </c>
      <c r="O16" t="s">
        <v>611</v>
      </c>
      <c r="Q16">
        <v>20</v>
      </c>
      <c r="R16" t="s">
        <v>610</v>
      </c>
      <c r="T16">
        <v>20</v>
      </c>
      <c r="U16" t="s">
        <v>599</v>
      </c>
    </row>
    <row r="17" spans="9:21" x14ac:dyDescent="0.25">
      <c r="K17">
        <v>23</v>
      </c>
      <c r="L17" t="s">
        <v>93</v>
      </c>
      <c r="N17">
        <v>23</v>
      </c>
      <c r="O17" t="s">
        <v>228</v>
      </c>
      <c r="Q17">
        <v>23</v>
      </c>
      <c r="R17" t="s">
        <v>229</v>
      </c>
      <c r="T17">
        <v>23</v>
      </c>
      <c r="U17" t="s">
        <v>230</v>
      </c>
    </row>
    <row r="18" spans="9:21" x14ac:dyDescent="0.25">
      <c r="K18">
        <v>25</v>
      </c>
      <c r="L18" t="s">
        <v>100</v>
      </c>
      <c r="N18">
        <v>25</v>
      </c>
      <c r="O18" t="s">
        <v>185</v>
      </c>
      <c r="Q18">
        <v>25</v>
      </c>
      <c r="R18" t="s">
        <v>189</v>
      </c>
      <c r="T18">
        <v>25</v>
      </c>
      <c r="U18" t="s">
        <v>188</v>
      </c>
    </row>
    <row r="22" spans="9:21" x14ac:dyDescent="0.25">
      <c r="I22" t="s">
        <v>604</v>
      </c>
    </row>
    <row r="23" spans="9:21" x14ac:dyDescent="0.25">
      <c r="I23" t="s">
        <v>605</v>
      </c>
    </row>
    <row r="24" spans="9:21" x14ac:dyDescent="0.25">
      <c r="I24" t="s">
        <v>603</v>
      </c>
    </row>
    <row r="25" spans="9:21" x14ac:dyDescent="0.25">
      <c r="I25" t="s">
        <v>606</v>
      </c>
    </row>
    <row r="26" spans="9:21" x14ac:dyDescent="0.25">
      <c r="I26" t="s">
        <v>608</v>
      </c>
    </row>
    <row r="27" spans="9:21" x14ac:dyDescent="0.25">
      <c r="I27" t="s">
        <v>607</v>
      </c>
    </row>
    <row r="28" spans="9:21" x14ac:dyDescent="0.25">
      <c r="I28" t="s">
        <v>601</v>
      </c>
    </row>
    <row r="29" spans="9:21" x14ac:dyDescent="0.25">
      <c r="I29" t="s">
        <v>602</v>
      </c>
    </row>
    <row r="36" spans="11:11" x14ac:dyDescent="0.25">
      <c r="K36" s="34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42027-1FFA-4C9B-898F-D8F160BDC00A}">
  <dimension ref="B6:O26"/>
  <sheetViews>
    <sheetView workbookViewId="0">
      <selection activeCell="I9" sqref="I9"/>
    </sheetView>
  </sheetViews>
  <sheetFormatPr baseColWidth="10" defaultRowHeight="15" x14ac:dyDescent="0.25"/>
  <cols>
    <col min="2" max="2" width="4.42578125" customWidth="1"/>
    <col min="3" max="3" width="13.7109375" customWidth="1"/>
    <col min="5" max="5" width="4.140625" customWidth="1"/>
    <col min="8" max="8" width="4" customWidth="1"/>
    <col min="11" max="11" width="4.140625" customWidth="1"/>
    <col min="14" max="14" width="3.85546875" customWidth="1"/>
  </cols>
  <sheetData>
    <row r="6" spans="2:15" x14ac:dyDescent="0.25">
      <c r="C6" t="s">
        <v>13</v>
      </c>
      <c r="F6" t="s">
        <v>15</v>
      </c>
      <c r="I6" t="s">
        <v>20</v>
      </c>
      <c r="L6" t="s">
        <v>21</v>
      </c>
      <c r="O6" t="s">
        <v>155</v>
      </c>
    </row>
    <row r="7" spans="2:15" x14ac:dyDescent="0.25">
      <c r="B7">
        <v>1</v>
      </c>
      <c r="C7" t="s">
        <v>167</v>
      </c>
      <c r="E7">
        <v>1</v>
      </c>
      <c r="F7" t="s">
        <v>172</v>
      </c>
      <c r="H7">
        <v>1</v>
      </c>
      <c r="I7" t="s">
        <v>180</v>
      </c>
      <c r="K7">
        <v>1</v>
      </c>
      <c r="L7" t="s">
        <v>194</v>
      </c>
      <c r="N7">
        <v>1</v>
      </c>
      <c r="O7" t="s">
        <v>178</v>
      </c>
    </row>
    <row r="8" spans="2:15" x14ac:dyDescent="0.25">
      <c r="B8">
        <v>1</v>
      </c>
      <c r="C8" t="s">
        <v>168</v>
      </c>
      <c r="E8">
        <v>1</v>
      </c>
      <c r="F8" t="s">
        <v>173</v>
      </c>
      <c r="H8">
        <v>3</v>
      </c>
      <c r="I8" t="s">
        <v>597</v>
      </c>
      <c r="K8">
        <v>3</v>
      </c>
      <c r="L8" t="s">
        <v>192</v>
      </c>
      <c r="N8">
        <v>1</v>
      </c>
      <c r="O8" t="s">
        <v>200</v>
      </c>
    </row>
    <row r="9" spans="2:15" x14ac:dyDescent="0.25">
      <c r="B9">
        <v>8</v>
      </c>
      <c r="C9" t="s">
        <v>71</v>
      </c>
      <c r="E9">
        <v>5</v>
      </c>
      <c r="F9" t="s">
        <v>175</v>
      </c>
      <c r="H9">
        <v>5</v>
      </c>
      <c r="I9" t="s">
        <v>613</v>
      </c>
      <c r="K9">
        <v>5</v>
      </c>
      <c r="L9" t="s">
        <v>614</v>
      </c>
      <c r="N9">
        <v>5</v>
      </c>
      <c r="O9" t="s">
        <v>202</v>
      </c>
    </row>
    <row r="10" spans="2:15" x14ac:dyDescent="0.25">
      <c r="B10">
        <v>9</v>
      </c>
      <c r="C10" t="s">
        <v>169</v>
      </c>
      <c r="E10">
        <v>8</v>
      </c>
      <c r="F10" t="s">
        <v>174</v>
      </c>
      <c r="H10">
        <v>8</v>
      </c>
      <c r="I10" t="s">
        <v>670</v>
      </c>
      <c r="K10">
        <v>8</v>
      </c>
      <c r="L10" t="s">
        <v>671</v>
      </c>
      <c r="N10">
        <v>6</v>
      </c>
      <c r="O10" t="s">
        <v>203</v>
      </c>
    </row>
    <row r="11" spans="2:15" x14ac:dyDescent="0.25">
      <c r="B11">
        <v>10</v>
      </c>
      <c r="C11" t="s">
        <v>170</v>
      </c>
      <c r="E11">
        <v>10</v>
      </c>
      <c r="F11" t="s">
        <v>176</v>
      </c>
      <c r="H11">
        <v>10</v>
      </c>
      <c r="I11" t="s">
        <v>209</v>
      </c>
      <c r="K11">
        <v>10</v>
      </c>
      <c r="L11" t="s">
        <v>210</v>
      </c>
      <c r="N11">
        <v>7</v>
      </c>
      <c r="O11" t="s">
        <v>204</v>
      </c>
    </row>
    <row r="12" spans="2:15" x14ac:dyDescent="0.25">
      <c r="B12">
        <v>12</v>
      </c>
      <c r="C12" t="s">
        <v>383</v>
      </c>
      <c r="E12">
        <v>11</v>
      </c>
      <c r="F12" t="s">
        <v>177</v>
      </c>
      <c r="H12">
        <v>12</v>
      </c>
      <c r="I12" t="s">
        <v>182</v>
      </c>
      <c r="K12">
        <v>12</v>
      </c>
      <c r="L12" t="s">
        <v>196</v>
      </c>
      <c r="N12">
        <v>10</v>
      </c>
      <c r="O12" t="s">
        <v>201</v>
      </c>
    </row>
    <row r="13" spans="2:15" x14ac:dyDescent="0.25">
      <c r="B13">
        <v>14</v>
      </c>
      <c r="C13" t="s">
        <v>296</v>
      </c>
      <c r="E13">
        <v>14</v>
      </c>
      <c r="F13" s="35" t="s">
        <v>720</v>
      </c>
      <c r="H13">
        <v>14</v>
      </c>
      <c r="I13" t="s">
        <v>788</v>
      </c>
      <c r="K13">
        <v>14</v>
      </c>
      <c r="L13" t="s">
        <v>788</v>
      </c>
      <c r="N13">
        <v>14</v>
      </c>
      <c r="O13" t="s">
        <v>789</v>
      </c>
    </row>
    <row r="14" spans="2:15" x14ac:dyDescent="0.25">
      <c r="B14">
        <v>15</v>
      </c>
      <c r="C14" t="s">
        <v>172</v>
      </c>
      <c r="E14">
        <v>17</v>
      </c>
      <c r="F14" t="s">
        <v>178</v>
      </c>
      <c r="H14">
        <v>15</v>
      </c>
      <c r="I14" t="s">
        <v>183</v>
      </c>
      <c r="K14">
        <v>15</v>
      </c>
      <c r="L14" t="s">
        <v>197</v>
      </c>
      <c r="N14">
        <v>15</v>
      </c>
      <c r="O14" t="s">
        <v>724</v>
      </c>
    </row>
    <row r="15" spans="2:15" x14ac:dyDescent="0.25">
      <c r="B15">
        <v>15</v>
      </c>
      <c r="C15" t="s">
        <v>173</v>
      </c>
      <c r="E15">
        <v>19</v>
      </c>
      <c r="F15" t="s">
        <v>179</v>
      </c>
      <c r="H15">
        <v>16</v>
      </c>
      <c r="I15" t="s">
        <v>184</v>
      </c>
      <c r="K15">
        <v>16</v>
      </c>
      <c r="L15" t="s">
        <v>198</v>
      </c>
      <c r="N15">
        <v>16</v>
      </c>
      <c r="O15" t="s">
        <v>290</v>
      </c>
    </row>
    <row r="16" spans="2:15" x14ac:dyDescent="0.25">
      <c r="E16">
        <v>20</v>
      </c>
      <c r="F16" t="s">
        <v>193</v>
      </c>
      <c r="H16">
        <v>20</v>
      </c>
      <c r="I16" t="s">
        <v>598</v>
      </c>
      <c r="K16">
        <v>20</v>
      </c>
      <c r="L16" t="s">
        <v>596</v>
      </c>
      <c r="N16">
        <v>21</v>
      </c>
      <c r="O16" t="s">
        <v>615</v>
      </c>
    </row>
    <row r="17" spans="8:15" x14ac:dyDescent="0.25">
      <c r="H17">
        <v>23</v>
      </c>
      <c r="I17" t="s">
        <v>181</v>
      </c>
      <c r="K17">
        <v>23</v>
      </c>
      <c r="L17" t="s">
        <v>195</v>
      </c>
      <c r="N17">
        <v>22</v>
      </c>
      <c r="O17" t="s">
        <v>199</v>
      </c>
    </row>
    <row r="18" spans="8:15" x14ac:dyDescent="0.25">
      <c r="H18">
        <v>25</v>
      </c>
      <c r="I18" t="s">
        <v>509</v>
      </c>
      <c r="K18">
        <v>25</v>
      </c>
      <c r="L18" t="s">
        <v>510</v>
      </c>
      <c r="N18">
        <v>25</v>
      </c>
      <c r="O18" t="s">
        <v>205</v>
      </c>
    </row>
    <row r="22" spans="8:15" x14ac:dyDescent="0.25">
      <c r="I22" t="s">
        <v>691</v>
      </c>
    </row>
    <row r="23" spans="8:15" x14ac:dyDescent="0.25">
      <c r="I23" t="s">
        <v>693</v>
      </c>
    </row>
    <row r="24" spans="8:15" x14ac:dyDescent="0.25">
      <c r="I24" t="s">
        <v>694</v>
      </c>
    </row>
    <row r="25" spans="8:15" x14ac:dyDescent="0.25">
      <c r="I25" t="s">
        <v>692</v>
      </c>
    </row>
    <row r="26" spans="8:15" x14ac:dyDescent="0.25">
      <c r="I26" t="s">
        <v>616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2DCBE-BF61-4C8F-9A0D-1222D5B867E0}">
  <dimension ref="B6:O18"/>
  <sheetViews>
    <sheetView workbookViewId="0">
      <selection activeCell="O23" sqref="O23"/>
    </sheetView>
  </sheetViews>
  <sheetFormatPr baseColWidth="10" defaultRowHeight="15" x14ac:dyDescent="0.25"/>
  <cols>
    <col min="2" max="2" width="4.140625" customWidth="1"/>
    <col min="5" max="5" width="3.85546875" customWidth="1"/>
    <col min="8" max="8" width="4.85546875" customWidth="1"/>
    <col min="11" max="11" width="5" customWidth="1"/>
    <col min="13" max="13" width="13.42578125" customWidth="1"/>
    <col min="14" max="14" width="5" customWidth="1"/>
  </cols>
  <sheetData>
    <row r="6" spans="2:15" x14ac:dyDescent="0.25">
      <c r="C6" t="s">
        <v>25</v>
      </c>
      <c r="F6" t="s">
        <v>24</v>
      </c>
      <c r="I6" t="s">
        <v>248</v>
      </c>
      <c r="L6" t="s">
        <v>26</v>
      </c>
      <c r="O6" t="s">
        <v>27</v>
      </c>
    </row>
    <row r="7" spans="2:15" x14ac:dyDescent="0.25">
      <c r="B7">
        <v>1</v>
      </c>
      <c r="C7" t="s">
        <v>206</v>
      </c>
      <c r="E7">
        <v>1</v>
      </c>
      <c r="F7" t="s">
        <v>234</v>
      </c>
      <c r="H7">
        <v>1</v>
      </c>
      <c r="I7" t="s">
        <v>238</v>
      </c>
      <c r="K7">
        <v>1</v>
      </c>
      <c r="L7" t="s">
        <v>241</v>
      </c>
      <c r="N7">
        <v>1</v>
      </c>
      <c r="O7" t="s">
        <v>102</v>
      </c>
    </row>
    <row r="8" spans="2:15" x14ac:dyDescent="0.25">
      <c r="B8">
        <v>1</v>
      </c>
      <c r="C8" t="s">
        <v>207</v>
      </c>
      <c r="E8">
        <v>4</v>
      </c>
      <c r="F8" t="s">
        <v>117</v>
      </c>
      <c r="H8">
        <v>2</v>
      </c>
      <c r="I8" t="s">
        <v>242</v>
      </c>
      <c r="K8">
        <v>3</v>
      </c>
      <c r="L8" t="s">
        <v>238</v>
      </c>
      <c r="N8">
        <v>1</v>
      </c>
      <c r="O8" t="s">
        <v>240</v>
      </c>
    </row>
    <row r="9" spans="2:15" x14ac:dyDescent="0.25">
      <c r="B9">
        <v>4</v>
      </c>
      <c r="C9" t="s">
        <v>772</v>
      </c>
      <c r="E9">
        <v>4</v>
      </c>
      <c r="F9" t="s">
        <v>237</v>
      </c>
      <c r="H9">
        <v>5</v>
      </c>
      <c r="I9" t="s">
        <v>489</v>
      </c>
      <c r="K9">
        <v>5</v>
      </c>
      <c r="L9" t="s">
        <v>280</v>
      </c>
      <c r="N9">
        <v>2</v>
      </c>
      <c r="O9" t="s">
        <v>107</v>
      </c>
    </row>
    <row r="10" spans="2:15" x14ac:dyDescent="0.25">
      <c r="B10">
        <v>6</v>
      </c>
      <c r="C10" t="s">
        <v>231</v>
      </c>
      <c r="E10">
        <v>4</v>
      </c>
      <c r="F10" t="s">
        <v>713</v>
      </c>
      <c r="H10">
        <v>8</v>
      </c>
      <c r="I10" t="s">
        <v>246</v>
      </c>
      <c r="K10">
        <v>7</v>
      </c>
      <c r="L10" t="s">
        <v>774</v>
      </c>
      <c r="N10">
        <v>5</v>
      </c>
      <c r="O10" t="s">
        <v>154</v>
      </c>
    </row>
    <row r="11" spans="2:15" x14ac:dyDescent="0.25">
      <c r="B11">
        <v>10</v>
      </c>
      <c r="C11" t="s">
        <v>235</v>
      </c>
      <c r="E11">
        <v>7</v>
      </c>
      <c r="F11" t="s">
        <v>236</v>
      </c>
      <c r="H11">
        <v>10</v>
      </c>
      <c r="I11" t="s">
        <v>120</v>
      </c>
      <c r="K11">
        <v>9</v>
      </c>
      <c r="L11" t="s">
        <v>116</v>
      </c>
      <c r="N11">
        <v>7</v>
      </c>
      <c r="O11" t="s">
        <v>241</v>
      </c>
    </row>
    <row r="12" spans="2:15" x14ac:dyDescent="0.25">
      <c r="B12">
        <v>12</v>
      </c>
      <c r="C12" t="s">
        <v>232</v>
      </c>
      <c r="E12">
        <v>8</v>
      </c>
      <c r="F12" t="s">
        <v>773</v>
      </c>
      <c r="H12">
        <v>12</v>
      </c>
      <c r="I12" t="s">
        <v>252</v>
      </c>
      <c r="K12">
        <v>10</v>
      </c>
      <c r="L12" t="s">
        <v>768</v>
      </c>
      <c r="N12">
        <v>10</v>
      </c>
      <c r="O12" t="s">
        <v>256</v>
      </c>
    </row>
    <row r="13" spans="2:15" x14ac:dyDescent="0.25">
      <c r="B13">
        <v>12</v>
      </c>
      <c r="C13" t="s">
        <v>233</v>
      </c>
      <c r="E13">
        <v>11</v>
      </c>
      <c r="F13" t="s">
        <v>514</v>
      </c>
      <c r="H13">
        <v>14</v>
      </c>
      <c r="I13" t="s">
        <v>102</v>
      </c>
      <c r="K13">
        <v>13</v>
      </c>
      <c r="L13" t="s">
        <v>243</v>
      </c>
      <c r="N13">
        <v>15</v>
      </c>
      <c r="O13" t="s">
        <v>242</v>
      </c>
    </row>
    <row r="14" spans="2:15" x14ac:dyDescent="0.25">
      <c r="B14">
        <v>12</v>
      </c>
      <c r="C14" t="s">
        <v>712</v>
      </c>
      <c r="E14">
        <v>14</v>
      </c>
      <c r="F14" t="s">
        <v>238</v>
      </c>
      <c r="H14">
        <v>15</v>
      </c>
      <c r="I14" t="s">
        <v>245</v>
      </c>
      <c r="K14">
        <v>15</v>
      </c>
      <c r="L14" t="s">
        <v>728</v>
      </c>
      <c r="N14">
        <v>17</v>
      </c>
      <c r="O14" t="s">
        <v>104</v>
      </c>
    </row>
    <row r="15" spans="2:15" x14ac:dyDescent="0.25">
      <c r="B15">
        <v>14</v>
      </c>
      <c r="C15" t="s">
        <v>239</v>
      </c>
      <c r="E15">
        <v>17</v>
      </c>
      <c r="F15" t="s">
        <v>240</v>
      </c>
      <c r="H15">
        <v>16</v>
      </c>
      <c r="I15" t="s">
        <v>767</v>
      </c>
      <c r="K15">
        <v>16</v>
      </c>
      <c r="L15" t="s">
        <v>244</v>
      </c>
      <c r="N15">
        <v>20</v>
      </c>
      <c r="O15" t="s">
        <v>116</v>
      </c>
    </row>
    <row r="16" spans="2:15" x14ac:dyDescent="0.25">
      <c r="B16">
        <v>15</v>
      </c>
      <c r="C16" t="s">
        <v>234</v>
      </c>
      <c r="E16">
        <v>20</v>
      </c>
      <c r="F16" t="s">
        <v>258</v>
      </c>
      <c r="H16">
        <v>20</v>
      </c>
      <c r="I16" t="s">
        <v>253</v>
      </c>
      <c r="K16">
        <v>17</v>
      </c>
      <c r="L16" t="s">
        <v>761</v>
      </c>
      <c r="N16">
        <v>21</v>
      </c>
      <c r="O16" t="s">
        <v>259</v>
      </c>
    </row>
    <row r="17" spans="8:15" x14ac:dyDescent="0.25">
      <c r="H17">
        <v>23</v>
      </c>
      <c r="I17" t="s">
        <v>247</v>
      </c>
      <c r="K17">
        <v>18</v>
      </c>
      <c r="L17" t="s">
        <v>120</v>
      </c>
      <c r="N17">
        <v>24</v>
      </c>
      <c r="O17" t="s">
        <v>257</v>
      </c>
    </row>
    <row r="18" spans="8:15" x14ac:dyDescent="0.25">
      <c r="H18">
        <v>25</v>
      </c>
      <c r="I18" t="s">
        <v>254</v>
      </c>
      <c r="K18">
        <v>25</v>
      </c>
      <c r="L18" t="s">
        <v>119</v>
      </c>
      <c r="N18">
        <v>25</v>
      </c>
      <c r="O18" t="s">
        <v>680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3C8-C693-4473-9330-429F509F4CA3}">
  <dimension ref="B6:L18"/>
  <sheetViews>
    <sheetView workbookViewId="0">
      <selection activeCell="I15" sqref="I15"/>
    </sheetView>
  </sheetViews>
  <sheetFormatPr baseColWidth="10" defaultRowHeight="15" x14ac:dyDescent="0.25"/>
  <cols>
    <col min="2" max="2" width="5" customWidth="1"/>
    <col min="5" max="5" width="5.140625" customWidth="1"/>
    <col min="8" max="8" width="4.7109375" customWidth="1"/>
    <col min="11" max="11" width="4" customWidth="1"/>
  </cols>
  <sheetData>
    <row r="6" spans="2:12" x14ac:dyDescent="0.25">
      <c r="C6" t="s">
        <v>28</v>
      </c>
      <c r="F6" t="s">
        <v>29</v>
      </c>
      <c r="I6" t="s">
        <v>249</v>
      </c>
      <c r="L6" t="s">
        <v>30</v>
      </c>
    </row>
    <row r="7" spans="2:12" x14ac:dyDescent="0.25">
      <c r="B7">
        <v>1</v>
      </c>
      <c r="C7" t="s">
        <v>270</v>
      </c>
      <c r="E7">
        <v>1</v>
      </c>
      <c r="F7" t="s">
        <v>273</v>
      </c>
      <c r="H7">
        <v>1</v>
      </c>
      <c r="I7" t="s">
        <v>265</v>
      </c>
      <c r="K7">
        <v>1</v>
      </c>
      <c r="L7" t="s">
        <v>555</v>
      </c>
    </row>
    <row r="8" spans="2:12" x14ac:dyDescent="0.25">
      <c r="B8">
        <v>1</v>
      </c>
      <c r="C8" t="s">
        <v>273</v>
      </c>
      <c r="E8">
        <v>1</v>
      </c>
      <c r="F8" t="s">
        <v>274</v>
      </c>
      <c r="H8">
        <v>1</v>
      </c>
      <c r="I8" t="s">
        <v>266</v>
      </c>
      <c r="K8">
        <v>3</v>
      </c>
      <c r="L8" t="s">
        <v>285</v>
      </c>
    </row>
    <row r="9" spans="2:12" x14ac:dyDescent="0.25">
      <c r="B9">
        <v>3</v>
      </c>
      <c r="C9" t="s">
        <v>272</v>
      </c>
      <c r="E9">
        <v>5</v>
      </c>
      <c r="F9" t="s">
        <v>322</v>
      </c>
      <c r="H9">
        <v>5</v>
      </c>
      <c r="I9" t="s">
        <v>491</v>
      </c>
      <c r="K9">
        <v>5</v>
      </c>
      <c r="L9" t="s">
        <v>556</v>
      </c>
    </row>
    <row r="10" spans="2:12" x14ac:dyDescent="0.25">
      <c r="B10">
        <v>4</v>
      </c>
      <c r="C10" t="s">
        <v>271</v>
      </c>
      <c r="E10">
        <v>8</v>
      </c>
      <c r="F10" t="s">
        <v>276</v>
      </c>
      <c r="H10">
        <v>8</v>
      </c>
      <c r="I10" t="s">
        <v>268</v>
      </c>
      <c r="K10">
        <v>6</v>
      </c>
      <c r="L10" t="s">
        <v>349</v>
      </c>
    </row>
    <row r="11" spans="2:12" x14ac:dyDescent="0.25">
      <c r="B11">
        <v>7</v>
      </c>
      <c r="C11" t="s">
        <v>171</v>
      </c>
      <c r="E11">
        <v>10</v>
      </c>
      <c r="F11" t="s">
        <v>704</v>
      </c>
      <c r="H11">
        <v>10</v>
      </c>
      <c r="I11" t="s">
        <v>121</v>
      </c>
      <c r="K11">
        <v>7</v>
      </c>
      <c r="L11" t="s">
        <v>778</v>
      </c>
    </row>
    <row r="12" spans="2:12" x14ac:dyDescent="0.25">
      <c r="B12">
        <v>9</v>
      </c>
      <c r="C12" t="s">
        <v>277</v>
      </c>
      <c r="E12">
        <v>12</v>
      </c>
      <c r="F12" t="s">
        <v>283</v>
      </c>
      <c r="H12">
        <v>12</v>
      </c>
      <c r="I12" t="s">
        <v>267</v>
      </c>
      <c r="K12">
        <v>9</v>
      </c>
      <c r="L12" t="s">
        <v>553</v>
      </c>
    </row>
    <row r="13" spans="2:12" x14ac:dyDescent="0.25">
      <c r="B13">
        <v>10</v>
      </c>
      <c r="C13" t="s">
        <v>703</v>
      </c>
      <c r="E13">
        <v>14</v>
      </c>
      <c r="F13" s="35" t="s">
        <v>735</v>
      </c>
      <c r="H13">
        <v>14</v>
      </c>
      <c r="I13" t="s">
        <v>269</v>
      </c>
      <c r="K13">
        <v>11</v>
      </c>
      <c r="L13" t="s">
        <v>554</v>
      </c>
    </row>
    <row r="14" spans="2:12" x14ac:dyDescent="0.25">
      <c r="B14">
        <v>12</v>
      </c>
      <c r="C14" t="s">
        <v>275</v>
      </c>
      <c r="E14">
        <v>17</v>
      </c>
      <c r="F14" t="s">
        <v>282</v>
      </c>
      <c r="H14">
        <v>15</v>
      </c>
      <c r="I14" t="s">
        <v>647</v>
      </c>
      <c r="K14">
        <v>16</v>
      </c>
      <c r="L14" t="s">
        <v>350</v>
      </c>
    </row>
    <row r="15" spans="2:12" x14ac:dyDescent="0.25">
      <c r="B15">
        <v>14</v>
      </c>
      <c r="C15" t="s">
        <v>281</v>
      </c>
      <c r="E15">
        <v>18</v>
      </c>
      <c r="F15" t="s">
        <v>265</v>
      </c>
      <c r="H15">
        <v>16</v>
      </c>
      <c r="I15" t="s">
        <v>766</v>
      </c>
      <c r="K15">
        <v>20</v>
      </c>
      <c r="L15" t="s">
        <v>764</v>
      </c>
    </row>
    <row r="16" spans="2:12" x14ac:dyDescent="0.25">
      <c r="B16">
        <v>15</v>
      </c>
      <c r="C16" t="s">
        <v>318</v>
      </c>
      <c r="E16">
        <v>20</v>
      </c>
      <c r="F16" t="s">
        <v>323</v>
      </c>
      <c r="H16">
        <v>20</v>
      </c>
      <c r="I16" t="s">
        <v>260</v>
      </c>
      <c r="K16">
        <v>21</v>
      </c>
      <c r="L16" t="s">
        <v>266</v>
      </c>
    </row>
    <row r="17" spans="8:12" x14ac:dyDescent="0.25">
      <c r="H17">
        <v>23</v>
      </c>
      <c r="I17" t="s">
        <v>284</v>
      </c>
      <c r="K17">
        <v>22</v>
      </c>
      <c r="L17" t="s">
        <v>775</v>
      </c>
    </row>
    <row r="18" spans="8:12" x14ac:dyDescent="0.25">
      <c r="H18">
        <v>25</v>
      </c>
      <c r="I18" t="s">
        <v>261</v>
      </c>
      <c r="K18">
        <v>25</v>
      </c>
      <c r="L18" t="s">
        <v>765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93E0A-60F0-445D-A1BC-07B11C81A5A1}">
  <dimension ref="B6:U30"/>
  <sheetViews>
    <sheetView workbookViewId="0">
      <selection activeCell="G29" sqref="G29"/>
    </sheetView>
  </sheetViews>
  <sheetFormatPr baseColWidth="10" defaultRowHeight="15" x14ac:dyDescent="0.25"/>
  <cols>
    <col min="2" max="2" width="4.7109375" customWidth="1"/>
    <col min="3" max="3" width="12.28515625" customWidth="1"/>
    <col min="5" max="5" width="5.140625" customWidth="1"/>
    <col min="6" max="6" width="11.85546875" customWidth="1"/>
    <col min="8" max="8" width="4.5703125" customWidth="1"/>
    <col min="11" max="11" width="5.5703125" customWidth="1"/>
    <col min="13" max="13" width="15.85546875" customWidth="1"/>
    <col min="14" max="14" width="6" customWidth="1"/>
    <col min="16" max="16" width="12.42578125" customWidth="1"/>
    <col min="17" max="17" width="5.5703125" customWidth="1"/>
    <col min="19" max="19" width="15.28515625" customWidth="1"/>
    <col min="20" max="20" width="4.7109375" customWidth="1"/>
  </cols>
  <sheetData>
    <row r="6" spans="2:21" x14ac:dyDescent="0.25">
      <c r="C6" t="s">
        <v>35</v>
      </c>
      <c r="F6" t="s">
        <v>32</v>
      </c>
      <c r="I6" t="s">
        <v>56</v>
      </c>
      <c r="L6" t="s">
        <v>36</v>
      </c>
      <c r="O6" t="s">
        <v>31</v>
      </c>
      <c r="R6" t="s">
        <v>57</v>
      </c>
      <c r="U6" t="s">
        <v>37</v>
      </c>
    </row>
    <row r="7" spans="2:21" x14ac:dyDescent="0.25">
      <c r="B7">
        <v>1</v>
      </c>
      <c r="C7" t="s">
        <v>305</v>
      </c>
      <c r="E7">
        <v>1</v>
      </c>
      <c r="F7" t="s">
        <v>305</v>
      </c>
      <c r="H7">
        <v>1</v>
      </c>
      <c r="I7" t="s">
        <v>308</v>
      </c>
      <c r="K7">
        <v>1</v>
      </c>
      <c r="L7" t="s">
        <v>309</v>
      </c>
      <c r="N7">
        <v>1</v>
      </c>
      <c r="O7" t="s">
        <v>341</v>
      </c>
      <c r="Q7">
        <v>1</v>
      </c>
      <c r="R7" t="s">
        <v>348</v>
      </c>
      <c r="T7">
        <v>1</v>
      </c>
      <c r="U7" t="s">
        <v>345</v>
      </c>
    </row>
    <row r="8" spans="2:21" x14ac:dyDescent="0.25">
      <c r="B8">
        <v>3</v>
      </c>
      <c r="C8" t="s">
        <v>308</v>
      </c>
      <c r="E8">
        <v>1</v>
      </c>
      <c r="F8" t="s">
        <v>310</v>
      </c>
      <c r="H8">
        <v>1</v>
      </c>
      <c r="I8" t="s">
        <v>311</v>
      </c>
      <c r="K8">
        <v>1</v>
      </c>
      <c r="L8" t="s">
        <v>312</v>
      </c>
      <c r="N8">
        <v>4</v>
      </c>
      <c r="O8" t="s">
        <v>117</v>
      </c>
      <c r="Q8">
        <v>4</v>
      </c>
      <c r="R8" t="s">
        <v>336</v>
      </c>
      <c r="T8">
        <v>4</v>
      </c>
      <c r="U8" t="s">
        <v>335</v>
      </c>
    </row>
    <row r="9" spans="2:21" x14ac:dyDescent="0.25">
      <c r="B9">
        <v>4</v>
      </c>
      <c r="C9" t="s">
        <v>309</v>
      </c>
      <c r="E9">
        <v>3</v>
      </c>
      <c r="F9" t="s">
        <v>339</v>
      </c>
      <c r="H9">
        <v>3</v>
      </c>
      <c r="I9" t="s">
        <v>346</v>
      </c>
      <c r="K9">
        <v>3</v>
      </c>
      <c r="L9" t="s">
        <v>343</v>
      </c>
      <c r="N9">
        <v>6</v>
      </c>
      <c r="O9" t="s">
        <v>319</v>
      </c>
      <c r="Q9">
        <v>6</v>
      </c>
      <c r="R9" t="s">
        <v>321</v>
      </c>
      <c r="T9">
        <v>6</v>
      </c>
      <c r="U9" t="s">
        <v>323</v>
      </c>
    </row>
    <row r="10" spans="2:21" x14ac:dyDescent="0.25">
      <c r="B10">
        <v>6</v>
      </c>
      <c r="C10" t="s">
        <v>316</v>
      </c>
      <c r="E10">
        <v>7</v>
      </c>
      <c r="F10" t="s">
        <v>313</v>
      </c>
      <c r="H10">
        <v>7</v>
      </c>
      <c r="I10" t="s">
        <v>314</v>
      </c>
      <c r="K10">
        <v>7</v>
      </c>
      <c r="L10" t="s">
        <v>315</v>
      </c>
      <c r="N10">
        <v>8</v>
      </c>
      <c r="O10" t="s">
        <v>342</v>
      </c>
      <c r="Q10">
        <v>8</v>
      </c>
      <c r="R10" t="s">
        <v>353</v>
      </c>
      <c r="T10">
        <v>8</v>
      </c>
      <c r="U10" t="s">
        <v>746</v>
      </c>
    </row>
    <row r="11" spans="2:21" x14ac:dyDescent="0.25">
      <c r="B11">
        <v>7</v>
      </c>
      <c r="C11" t="s">
        <v>317</v>
      </c>
      <c r="E11">
        <v>10</v>
      </c>
      <c r="F11" t="s">
        <v>329</v>
      </c>
      <c r="H11">
        <v>10</v>
      </c>
      <c r="I11" t="s">
        <v>331</v>
      </c>
      <c r="K11">
        <v>10</v>
      </c>
      <c r="L11" t="s">
        <v>479</v>
      </c>
      <c r="N11">
        <v>9</v>
      </c>
      <c r="O11" t="s">
        <v>723</v>
      </c>
      <c r="Q11">
        <v>9</v>
      </c>
      <c r="R11" t="s">
        <v>723</v>
      </c>
      <c r="T11">
        <v>9</v>
      </c>
      <c r="U11" t="s">
        <v>723</v>
      </c>
    </row>
    <row r="12" spans="2:21" x14ac:dyDescent="0.25">
      <c r="B12">
        <v>11</v>
      </c>
      <c r="C12" t="s">
        <v>310</v>
      </c>
      <c r="E12">
        <v>12</v>
      </c>
      <c r="F12" t="s">
        <v>340</v>
      </c>
      <c r="H12">
        <v>12</v>
      </c>
      <c r="I12" t="s">
        <v>347</v>
      </c>
      <c r="K12">
        <v>12</v>
      </c>
      <c r="L12" t="s">
        <v>344</v>
      </c>
      <c r="N12">
        <v>12</v>
      </c>
      <c r="O12" t="s">
        <v>307</v>
      </c>
      <c r="Q12">
        <v>12</v>
      </c>
      <c r="R12" t="s">
        <v>354</v>
      </c>
      <c r="T12">
        <v>12</v>
      </c>
      <c r="U12" t="s">
        <v>478</v>
      </c>
    </row>
    <row r="13" spans="2:21" x14ac:dyDescent="0.25">
      <c r="B13">
        <v>12</v>
      </c>
      <c r="C13" t="s">
        <v>311</v>
      </c>
      <c r="E13">
        <v>15</v>
      </c>
      <c r="F13" t="s">
        <v>306</v>
      </c>
      <c r="H13">
        <v>15</v>
      </c>
      <c r="I13" t="s">
        <v>320</v>
      </c>
      <c r="K13">
        <v>15</v>
      </c>
      <c r="L13" t="s">
        <v>322</v>
      </c>
      <c r="N13">
        <v>14</v>
      </c>
      <c r="O13" t="s">
        <v>740</v>
      </c>
      <c r="Q13">
        <v>14</v>
      </c>
      <c r="R13" t="s">
        <v>742</v>
      </c>
      <c r="T13">
        <v>14</v>
      </c>
      <c r="U13" t="s">
        <v>744</v>
      </c>
    </row>
    <row r="14" spans="2:21" x14ac:dyDescent="0.25">
      <c r="B14">
        <v>13</v>
      </c>
      <c r="C14" t="s">
        <v>312</v>
      </c>
      <c r="E14">
        <v>18</v>
      </c>
      <c r="F14" t="s">
        <v>324</v>
      </c>
      <c r="H14">
        <v>18</v>
      </c>
      <c r="I14" t="s">
        <v>325</v>
      </c>
      <c r="K14">
        <v>18</v>
      </c>
      <c r="L14" t="s">
        <v>326</v>
      </c>
      <c r="N14">
        <v>15</v>
      </c>
      <c r="O14" t="s">
        <v>338</v>
      </c>
      <c r="Q14">
        <v>15</v>
      </c>
      <c r="R14" t="s">
        <v>358</v>
      </c>
      <c r="T14">
        <v>15</v>
      </c>
      <c r="U14" t="s">
        <v>743</v>
      </c>
    </row>
    <row r="15" spans="2:21" x14ac:dyDescent="0.25">
      <c r="B15">
        <v>14</v>
      </c>
      <c r="C15" t="s">
        <v>232</v>
      </c>
      <c r="E15">
        <v>19</v>
      </c>
      <c r="F15" t="s">
        <v>359</v>
      </c>
      <c r="H15">
        <v>19</v>
      </c>
      <c r="I15" t="s">
        <v>327</v>
      </c>
      <c r="K15">
        <v>19</v>
      </c>
      <c r="L15" t="s">
        <v>333</v>
      </c>
      <c r="N15">
        <v>17</v>
      </c>
      <c r="O15" t="s">
        <v>676</v>
      </c>
      <c r="Q15">
        <v>17</v>
      </c>
      <c r="R15" t="s">
        <v>675</v>
      </c>
      <c r="T15">
        <v>17</v>
      </c>
      <c r="U15" t="s">
        <v>677</v>
      </c>
    </row>
    <row r="16" spans="2:21" x14ac:dyDescent="0.25">
      <c r="B16">
        <v>15</v>
      </c>
      <c r="C16" t="s">
        <v>436</v>
      </c>
      <c r="E16">
        <v>20</v>
      </c>
      <c r="F16" t="s">
        <v>341</v>
      </c>
      <c r="H16">
        <v>20</v>
      </c>
      <c r="I16" t="s">
        <v>348</v>
      </c>
      <c r="K16">
        <v>20</v>
      </c>
      <c r="L16" t="s">
        <v>345</v>
      </c>
      <c r="N16">
        <v>21</v>
      </c>
      <c r="O16" t="s">
        <v>741</v>
      </c>
      <c r="Q16">
        <v>21</v>
      </c>
      <c r="R16" t="s">
        <v>356</v>
      </c>
      <c r="T16">
        <v>21</v>
      </c>
      <c r="U16" t="s">
        <v>477</v>
      </c>
    </row>
    <row r="17" spans="9:21" x14ac:dyDescent="0.25">
      <c r="N17">
        <v>22</v>
      </c>
      <c r="O17" t="s">
        <v>672</v>
      </c>
      <c r="Q17">
        <v>22</v>
      </c>
      <c r="R17" t="s">
        <v>673</v>
      </c>
      <c r="T17">
        <v>22</v>
      </c>
      <c r="U17" t="s">
        <v>674</v>
      </c>
    </row>
    <row r="18" spans="9:21" x14ac:dyDescent="0.25">
      <c r="N18">
        <v>25</v>
      </c>
      <c r="O18" t="s">
        <v>384</v>
      </c>
      <c r="Q18">
        <v>25</v>
      </c>
      <c r="R18" t="s">
        <v>357</v>
      </c>
      <c r="T18">
        <v>25</v>
      </c>
      <c r="U18" t="s">
        <v>351</v>
      </c>
    </row>
    <row r="24" spans="9:21" x14ac:dyDescent="0.25">
      <c r="I24" t="s">
        <v>328</v>
      </c>
    </row>
    <row r="25" spans="9:21" x14ac:dyDescent="0.25">
      <c r="I25" t="s">
        <v>330</v>
      </c>
    </row>
    <row r="26" spans="9:21" x14ac:dyDescent="0.25">
      <c r="I26" t="s">
        <v>332</v>
      </c>
    </row>
    <row r="27" spans="9:21" x14ac:dyDescent="0.25">
      <c r="I27" t="s">
        <v>334</v>
      </c>
    </row>
    <row r="28" spans="9:21" x14ac:dyDescent="0.25">
      <c r="I28" t="s">
        <v>337</v>
      </c>
    </row>
    <row r="29" spans="9:21" x14ac:dyDescent="0.25">
      <c r="I29" t="s">
        <v>352</v>
      </c>
    </row>
    <row r="30" spans="9:21" x14ac:dyDescent="0.25">
      <c r="I30" t="s">
        <v>562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B44D8-63D9-4583-A528-96350FCD17F8}">
  <dimension ref="B6:K33"/>
  <sheetViews>
    <sheetView workbookViewId="0">
      <selection activeCell="B12" sqref="B12"/>
    </sheetView>
  </sheetViews>
  <sheetFormatPr baseColWidth="10" defaultRowHeight="15" x14ac:dyDescent="0.25"/>
  <cols>
    <col min="2" max="2" width="4.5703125" customWidth="1"/>
    <col min="6" max="6" width="4.7109375" customWidth="1"/>
    <col min="10" max="10" width="4.85546875" customWidth="1"/>
  </cols>
  <sheetData>
    <row r="6" spans="2:11" x14ac:dyDescent="0.25">
      <c r="C6" t="s">
        <v>33</v>
      </c>
      <c r="G6" t="s">
        <v>62</v>
      </c>
      <c r="K6" t="s">
        <v>34</v>
      </c>
    </row>
    <row r="7" spans="2:11" x14ac:dyDescent="0.25">
      <c r="B7">
        <v>1</v>
      </c>
      <c r="C7" t="s">
        <v>381</v>
      </c>
      <c r="F7">
        <v>1</v>
      </c>
      <c r="G7" t="s">
        <v>395</v>
      </c>
      <c r="J7">
        <v>1</v>
      </c>
      <c r="K7" t="s">
        <v>407</v>
      </c>
    </row>
    <row r="8" spans="2:11" x14ac:dyDescent="0.25">
      <c r="B8">
        <v>4</v>
      </c>
      <c r="C8" t="s">
        <v>395</v>
      </c>
      <c r="F8">
        <v>2</v>
      </c>
      <c r="G8" t="s">
        <v>404</v>
      </c>
      <c r="J8">
        <v>5</v>
      </c>
      <c r="K8" t="s">
        <v>414</v>
      </c>
    </row>
    <row r="9" spans="2:11" x14ac:dyDescent="0.25">
      <c r="B9">
        <v>5</v>
      </c>
      <c r="C9" t="s">
        <v>391</v>
      </c>
      <c r="F9">
        <v>8</v>
      </c>
      <c r="G9" t="s">
        <v>407</v>
      </c>
      <c r="J9">
        <v>6</v>
      </c>
      <c r="K9" t="s">
        <v>410</v>
      </c>
    </row>
    <row r="10" spans="2:11" x14ac:dyDescent="0.25">
      <c r="B10">
        <v>6</v>
      </c>
      <c r="C10" t="s">
        <v>392</v>
      </c>
      <c r="F10">
        <v>10</v>
      </c>
      <c r="G10" t="s">
        <v>408</v>
      </c>
      <c r="J10">
        <v>7</v>
      </c>
      <c r="K10" t="s">
        <v>397</v>
      </c>
    </row>
    <row r="11" spans="2:11" x14ac:dyDescent="0.25">
      <c r="B11">
        <v>7</v>
      </c>
      <c r="C11" s="35" t="s">
        <v>394</v>
      </c>
      <c r="F11">
        <v>11</v>
      </c>
      <c r="G11" t="s">
        <v>403</v>
      </c>
      <c r="J11">
        <v>8</v>
      </c>
      <c r="K11" t="s">
        <v>413</v>
      </c>
    </row>
    <row r="12" spans="2:11" x14ac:dyDescent="0.25">
      <c r="B12">
        <v>10</v>
      </c>
      <c r="C12" t="s">
        <v>360</v>
      </c>
      <c r="F12">
        <v>15</v>
      </c>
      <c r="G12" t="s">
        <v>736</v>
      </c>
      <c r="J12">
        <v>10</v>
      </c>
      <c r="K12" t="s">
        <v>409</v>
      </c>
    </row>
    <row r="13" spans="2:11" x14ac:dyDescent="0.25">
      <c r="B13">
        <v>11</v>
      </c>
      <c r="C13" t="s">
        <v>390</v>
      </c>
      <c r="F13">
        <v>16</v>
      </c>
      <c r="G13" t="s">
        <v>401</v>
      </c>
      <c r="J13">
        <v>14</v>
      </c>
      <c r="K13" t="s">
        <v>399</v>
      </c>
    </row>
    <row r="14" spans="2:11" x14ac:dyDescent="0.25">
      <c r="B14">
        <v>13</v>
      </c>
      <c r="C14" t="s">
        <v>405</v>
      </c>
      <c r="F14">
        <v>17</v>
      </c>
      <c r="G14" t="s">
        <v>406</v>
      </c>
      <c r="J14">
        <v>15</v>
      </c>
      <c r="K14" t="s">
        <v>416</v>
      </c>
    </row>
    <row r="15" spans="2:11" x14ac:dyDescent="0.25">
      <c r="B15">
        <v>15</v>
      </c>
      <c r="C15" t="s">
        <v>402</v>
      </c>
      <c r="F15">
        <v>20</v>
      </c>
      <c r="G15" t="s">
        <v>415</v>
      </c>
      <c r="J15">
        <v>17</v>
      </c>
      <c r="K15" t="s">
        <v>412</v>
      </c>
    </row>
    <row r="16" spans="2:11" x14ac:dyDescent="0.25">
      <c r="J16">
        <v>23</v>
      </c>
      <c r="K16" t="s">
        <v>400</v>
      </c>
    </row>
    <row r="17" spans="8:11" x14ac:dyDescent="0.25">
      <c r="J17">
        <v>24</v>
      </c>
      <c r="K17" t="s">
        <v>776</v>
      </c>
    </row>
    <row r="18" spans="8:11" x14ac:dyDescent="0.25">
      <c r="J18">
        <v>25</v>
      </c>
      <c r="K18" t="s">
        <v>411</v>
      </c>
    </row>
    <row r="24" spans="8:11" x14ac:dyDescent="0.25">
      <c r="H24" t="s">
        <v>393</v>
      </c>
    </row>
    <row r="25" spans="8:11" x14ac:dyDescent="0.25">
      <c r="H25" t="s">
        <v>385</v>
      </c>
    </row>
    <row r="26" spans="8:11" x14ac:dyDescent="0.25">
      <c r="H26" t="s">
        <v>386</v>
      </c>
    </row>
    <row r="27" spans="8:11" x14ac:dyDescent="0.25">
      <c r="H27" t="s">
        <v>388</v>
      </c>
    </row>
    <row r="28" spans="8:11" x14ac:dyDescent="0.25">
      <c r="H28" t="s">
        <v>387</v>
      </c>
    </row>
    <row r="29" spans="8:11" x14ac:dyDescent="0.25">
      <c r="H29" t="s">
        <v>389</v>
      </c>
    </row>
    <row r="30" spans="8:11" x14ac:dyDescent="0.25">
      <c r="H30" t="s">
        <v>737</v>
      </c>
    </row>
    <row r="31" spans="8:11" x14ac:dyDescent="0.25">
      <c r="H31" t="s">
        <v>396</v>
      </c>
    </row>
    <row r="32" spans="8:11" x14ac:dyDescent="0.25">
      <c r="H32" t="s">
        <v>725</v>
      </c>
    </row>
    <row r="33" spans="8:8" x14ac:dyDescent="0.25">
      <c r="H33" t="s">
        <v>398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16436-1C76-440D-9462-77F99D101652}">
  <dimension ref="B6:V37"/>
  <sheetViews>
    <sheetView topLeftCell="A4" workbookViewId="0">
      <selection activeCell="R15" sqref="R15"/>
    </sheetView>
  </sheetViews>
  <sheetFormatPr baseColWidth="10" defaultRowHeight="15" x14ac:dyDescent="0.25"/>
  <cols>
    <col min="2" max="2" width="4.28515625" customWidth="1"/>
    <col min="5" max="5" width="4.7109375" customWidth="1"/>
    <col min="8" max="8" width="4.28515625" customWidth="1"/>
    <col min="11" max="11" width="4.28515625" customWidth="1"/>
    <col min="14" max="14" width="5" customWidth="1"/>
    <col min="17" max="17" width="4.7109375" customWidth="1"/>
    <col min="20" max="20" width="5.140625" customWidth="1"/>
    <col min="21" max="21" width="15.7109375" customWidth="1"/>
  </cols>
  <sheetData>
    <row r="6" spans="2:22" x14ac:dyDescent="0.25">
      <c r="C6" t="s">
        <v>38</v>
      </c>
      <c r="F6" t="s">
        <v>39</v>
      </c>
      <c r="I6" t="s">
        <v>40</v>
      </c>
      <c r="L6" t="s">
        <v>41</v>
      </c>
      <c r="O6" t="s">
        <v>50</v>
      </c>
      <c r="R6" t="s">
        <v>48</v>
      </c>
      <c r="U6" t="s">
        <v>430</v>
      </c>
    </row>
    <row r="7" spans="2:22" x14ac:dyDescent="0.25">
      <c r="B7">
        <v>1</v>
      </c>
      <c r="C7" t="s">
        <v>431</v>
      </c>
      <c r="E7">
        <v>1</v>
      </c>
      <c r="F7" t="s">
        <v>806</v>
      </c>
      <c r="H7">
        <v>1</v>
      </c>
      <c r="I7" t="s">
        <v>503</v>
      </c>
      <c r="K7">
        <v>1</v>
      </c>
      <c r="L7" t="s">
        <v>637</v>
      </c>
      <c r="N7">
        <v>1</v>
      </c>
      <c r="O7" t="s">
        <v>464</v>
      </c>
      <c r="Q7">
        <v>1</v>
      </c>
      <c r="R7" t="s">
        <v>497</v>
      </c>
      <c r="T7">
        <v>1</v>
      </c>
      <c r="U7" t="s">
        <v>472</v>
      </c>
    </row>
    <row r="8" spans="2:22" x14ac:dyDescent="0.25">
      <c r="B8">
        <v>3</v>
      </c>
      <c r="C8" t="s">
        <v>445</v>
      </c>
      <c r="E8">
        <v>2</v>
      </c>
      <c r="F8" t="s">
        <v>437</v>
      </c>
      <c r="H8">
        <v>3</v>
      </c>
      <c r="I8" t="s">
        <v>469</v>
      </c>
      <c r="K8">
        <v>2</v>
      </c>
      <c r="L8" t="s">
        <v>480</v>
      </c>
      <c r="N8">
        <v>4</v>
      </c>
      <c r="O8" t="s">
        <v>355</v>
      </c>
      <c r="Q8">
        <v>5</v>
      </c>
      <c r="R8" t="s">
        <v>76</v>
      </c>
      <c r="T8">
        <v>1</v>
      </c>
      <c r="U8" t="s">
        <v>471</v>
      </c>
    </row>
    <row r="9" spans="2:22" x14ac:dyDescent="0.25">
      <c r="B9">
        <v>5</v>
      </c>
      <c r="C9" t="s">
        <v>465</v>
      </c>
      <c r="E9">
        <v>4</v>
      </c>
      <c r="F9" t="s">
        <v>454</v>
      </c>
      <c r="H9">
        <v>3</v>
      </c>
      <c r="I9" t="s">
        <v>470</v>
      </c>
      <c r="K9">
        <v>5</v>
      </c>
      <c r="L9" t="s">
        <v>486</v>
      </c>
      <c r="N9">
        <v>5</v>
      </c>
      <c r="O9" t="s">
        <v>449</v>
      </c>
      <c r="Q9">
        <v>6</v>
      </c>
      <c r="R9" t="s">
        <v>500</v>
      </c>
      <c r="T9">
        <v>3</v>
      </c>
      <c r="U9" t="s">
        <v>474</v>
      </c>
    </row>
    <row r="10" spans="2:22" x14ac:dyDescent="0.25">
      <c r="B10">
        <v>6</v>
      </c>
      <c r="C10" t="s">
        <v>446</v>
      </c>
      <c r="E10">
        <v>6</v>
      </c>
      <c r="F10" t="s">
        <v>443</v>
      </c>
      <c r="H10">
        <v>6</v>
      </c>
      <c r="I10" t="s">
        <v>486</v>
      </c>
      <c r="K10">
        <v>8</v>
      </c>
      <c r="L10" t="s">
        <v>452</v>
      </c>
      <c r="N10">
        <v>5</v>
      </c>
      <c r="O10" t="s">
        <v>463</v>
      </c>
      <c r="Q10">
        <v>8</v>
      </c>
      <c r="R10" t="s">
        <v>505</v>
      </c>
      <c r="T10">
        <v>3</v>
      </c>
      <c r="U10" t="s">
        <v>473</v>
      </c>
    </row>
    <row r="11" spans="2:22" x14ac:dyDescent="0.25">
      <c r="B11">
        <v>8</v>
      </c>
      <c r="C11" t="s">
        <v>467</v>
      </c>
      <c r="E11">
        <v>8</v>
      </c>
      <c r="F11" t="s">
        <v>455</v>
      </c>
      <c r="H11">
        <v>7</v>
      </c>
      <c r="I11" t="s">
        <v>490</v>
      </c>
      <c r="K11">
        <v>10</v>
      </c>
      <c r="L11" t="s">
        <v>450</v>
      </c>
      <c r="N11">
        <v>9</v>
      </c>
      <c r="O11" t="s">
        <v>734</v>
      </c>
      <c r="Q11">
        <v>10</v>
      </c>
      <c r="R11" t="s">
        <v>669</v>
      </c>
      <c r="T11">
        <v>6</v>
      </c>
      <c r="U11" t="s">
        <v>307</v>
      </c>
    </row>
    <row r="12" spans="2:22" x14ac:dyDescent="0.25">
      <c r="B12">
        <v>8</v>
      </c>
      <c r="C12" t="s">
        <v>468</v>
      </c>
      <c r="E12">
        <v>11</v>
      </c>
      <c r="F12" t="s">
        <v>438</v>
      </c>
      <c r="H12">
        <v>10</v>
      </c>
      <c r="I12" t="s">
        <v>762</v>
      </c>
      <c r="K12">
        <v>12</v>
      </c>
      <c r="L12" t="s">
        <v>484</v>
      </c>
      <c r="N12">
        <v>10</v>
      </c>
      <c r="O12" t="s">
        <v>732</v>
      </c>
      <c r="Q12">
        <v>12</v>
      </c>
      <c r="R12" t="s">
        <v>488</v>
      </c>
      <c r="T12">
        <v>9</v>
      </c>
      <c r="U12" t="s">
        <v>492</v>
      </c>
    </row>
    <row r="13" spans="2:22" x14ac:dyDescent="0.25">
      <c r="B13">
        <v>11</v>
      </c>
      <c r="C13" t="s">
        <v>466</v>
      </c>
      <c r="E13">
        <v>15</v>
      </c>
      <c r="F13" t="s">
        <v>456</v>
      </c>
      <c r="H13">
        <v>10</v>
      </c>
      <c r="I13" t="s">
        <v>763</v>
      </c>
      <c r="K13">
        <v>14</v>
      </c>
      <c r="L13" t="s">
        <v>451</v>
      </c>
      <c r="N13">
        <v>11</v>
      </c>
      <c r="O13" t="s">
        <v>731</v>
      </c>
      <c r="Q13">
        <v>14</v>
      </c>
      <c r="R13" t="s">
        <v>495</v>
      </c>
      <c r="T13">
        <v>12</v>
      </c>
      <c r="U13" t="s">
        <v>741</v>
      </c>
    </row>
    <row r="14" spans="2:22" x14ac:dyDescent="0.25">
      <c r="B14">
        <v>13</v>
      </c>
      <c r="C14" s="35" t="s">
        <v>747</v>
      </c>
      <c r="E14">
        <v>16</v>
      </c>
      <c r="F14" t="s">
        <v>444</v>
      </c>
      <c r="H14">
        <v>12</v>
      </c>
      <c r="I14" t="s">
        <v>485</v>
      </c>
      <c r="K14">
        <v>15</v>
      </c>
      <c r="L14" t="s">
        <v>785</v>
      </c>
      <c r="N14">
        <v>12</v>
      </c>
      <c r="O14" t="s">
        <v>733</v>
      </c>
      <c r="Q14">
        <v>15</v>
      </c>
      <c r="R14" t="s">
        <v>81</v>
      </c>
      <c r="T14">
        <v>15</v>
      </c>
      <c r="U14" t="s">
        <v>494</v>
      </c>
    </row>
    <row r="15" spans="2:22" x14ac:dyDescent="0.25">
      <c r="B15">
        <v>15</v>
      </c>
      <c r="C15" t="s">
        <v>435</v>
      </c>
      <c r="E15">
        <v>18</v>
      </c>
      <c r="F15" t="s">
        <v>784</v>
      </c>
      <c r="H15">
        <v>16</v>
      </c>
      <c r="I15" t="s">
        <v>319</v>
      </c>
      <c r="K15">
        <v>16</v>
      </c>
      <c r="L15" t="s">
        <v>777</v>
      </c>
      <c r="N15">
        <v>13</v>
      </c>
      <c r="O15" t="s">
        <v>483</v>
      </c>
      <c r="Q15">
        <v>16</v>
      </c>
      <c r="R15" t="s">
        <v>506</v>
      </c>
      <c r="T15">
        <v>17</v>
      </c>
      <c r="U15" t="s">
        <v>499</v>
      </c>
    </row>
    <row r="16" spans="2:22" x14ac:dyDescent="0.25">
      <c r="E16">
        <v>20</v>
      </c>
      <c r="F16" t="s">
        <v>439</v>
      </c>
      <c r="H16">
        <v>20</v>
      </c>
      <c r="I16" t="s">
        <v>507</v>
      </c>
      <c r="K16">
        <v>20</v>
      </c>
      <c r="L16" t="s">
        <v>738</v>
      </c>
      <c r="N16">
        <v>15</v>
      </c>
      <c r="O16" t="s">
        <v>812</v>
      </c>
      <c r="Q16">
        <v>21</v>
      </c>
      <c r="R16" t="s">
        <v>727</v>
      </c>
      <c r="T16">
        <v>19</v>
      </c>
      <c r="U16" t="s">
        <v>493</v>
      </c>
      <c r="V16" t="s">
        <v>803</v>
      </c>
    </row>
    <row r="17" spans="9:21" x14ac:dyDescent="0.25">
      <c r="K17">
        <v>23</v>
      </c>
      <c r="L17" t="s">
        <v>440</v>
      </c>
      <c r="N17">
        <v>20</v>
      </c>
      <c r="O17" t="s">
        <v>783</v>
      </c>
      <c r="Q17">
        <v>23</v>
      </c>
      <c r="R17" t="s">
        <v>504</v>
      </c>
      <c r="T17">
        <v>23</v>
      </c>
      <c r="U17" t="s">
        <v>802</v>
      </c>
    </row>
    <row r="18" spans="9:21" x14ac:dyDescent="0.25">
      <c r="K18">
        <v>25</v>
      </c>
      <c r="L18" t="s">
        <v>487</v>
      </c>
      <c r="N18">
        <v>25</v>
      </c>
      <c r="O18" t="s">
        <v>481</v>
      </c>
      <c r="Q18">
        <v>25</v>
      </c>
      <c r="R18" t="s">
        <v>502</v>
      </c>
      <c r="T18">
        <v>25</v>
      </c>
      <c r="U18" t="s">
        <v>689</v>
      </c>
    </row>
    <row r="21" spans="9:21" x14ac:dyDescent="0.25">
      <c r="I21" t="s">
        <v>434</v>
      </c>
    </row>
    <row r="22" spans="9:21" x14ac:dyDescent="0.25">
      <c r="I22" t="s">
        <v>433</v>
      </c>
    </row>
    <row r="23" spans="9:21" x14ac:dyDescent="0.25">
      <c r="I23" t="s">
        <v>432</v>
      </c>
    </row>
    <row r="24" spans="9:21" x14ac:dyDescent="0.25">
      <c r="I24" t="s">
        <v>447</v>
      </c>
    </row>
    <row r="25" spans="9:21" x14ac:dyDescent="0.25">
      <c r="I25" t="s">
        <v>453</v>
      </c>
    </row>
    <row r="26" spans="9:21" x14ac:dyDescent="0.25">
      <c r="I26" t="s">
        <v>457</v>
      </c>
    </row>
    <row r="27" spans="9:21" x14ac:dyDescent="0.25">
      <c r="I27" t="s">
        <v>458</v>
      </c>
    </row>
    <row r="28" spans="9:21" x14ac:dyDescent="0.25">
      <c r="I28" t="s">
        <v>459</v>
      </c>
    </row>
    <row r="29" spans="9:21" x14ac:dyDescent="0.25">
      <c r="I29" t="s">
        <v>460</v>
      </c>
    </row>
    <row r="30" spans="9:21" x14ac:dyDescent="0.25">
      <c r="I30" t="s">
        <v>461</v>
      </c>
    </row>
    <row r="31" spans="9:21" x14ac:dyDescent="0.25">
      <c r="I31" t="s">
        <v>462</v>
      </c>
    </row>
    <row r="32" spans="9:21" x14ac:dyDescent="0.25">
      <c r="I32" t="s">
        <v>482</v>
      </c>
    </row>
    <row r="33" spans="9:9" x14ac:dyDescent="0.25">
      <c r="I33" t="s">
        <v>805</v>
      </c>
    </row>
    <row r="34" spans="9:9" x14ac:dyDescent="0.25">
      <c r="I34" t="s">
        <v>501</v>
      </c>
    </row>
    <row r="35" spans="9:9" x14ac:dyDescent="0.25">
      <c r="I35" t="s">
        <v>476</v>
      </c>
    </row>
    <row r="36" spans="9:9" x14ac:dyDescent="0.25">
      <c r="I36" t="s">
        <v>508</v>
      </c>
    </row>
    <row r="37" spans="9:9" x14ac:dyDescent="0.25">
      <c r="I37" t="s">
        <v>690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15A6C-0030-4FB2-A68B-AF1DF4194BC7}">
  <dimension ref="B6:U35"/>
  <sheetViews>
    <sheetView topLeftCell="B1" workbookViewId="0">
      <selection activeCell="G29" sqref="G29"/>
    </sheetView>
  </sheetViews>
  <sheetFormatPr baseColWidth="10" defaultRowHeight="15" x14ac:dyDescent="0.25"/>
  <cols>
    <col min="2" max="2" width="4.85546875" customWidth="1"/>
    <col min="4" max="4" width="14.42578125" customWidth="1"/>
    <col min="5" max="5" width="5" customWidth="1"/>
    <col min="6" max="6" width="17" customWidth="1"/>
    <col min="7" max="7" width="17.140625" customWidth="1"/>
    <col min="8" max="8" width="4" customWidth="1"/>
    <col min="9" max="9" width="13.42578125" customWidth="1"/>
    <col min="11" max="11" width="4" customWidth="1"/>
    <col min="12" max="12" width="33.5703125" customWidth="1"/>
    <col min="13" max="13" width="22.140625" customWidth="1"/>
    <col min="14" max="14" width="4" customWidth="1"/>
    <col min="15" max="16" width="15" customWidth="1"/>
    <col min="17" max="17" width="3.140625" customWidth="1"/>
    <col min="18" max="18" width="15.7109375" customWidth="1"/>
    <col min="20" max="20" width="3.7109375" customWidth="1"/>
    <col min="21" max="21" width="14.85546875" customWidth="1"/>
  </cols>
  <sheetData>
    <row r="6" spans="2:21" x14ac:dyDescent="0.25">
      <c r="C6" t="s">
        <v>23</v>
      </c>
      <c r="F6" t="s">
        <v>42</v>
      </c>
      <c r="I6" t="s">
        <v>101</v>
      </c>
      <c r="L6" t="s">
        <v>43</v>
      </c>
      <c r="O6" t="s">
        <v>44</v>
      </c>
      <c r="R6" t="s">
        <v>46</v>
      </c>
      <c r="U6" t="s">
        <v>47</v>
      </c>
    </row>
    <row r="7" spans="2:21" x14ac:dyDescent="0.25">
      <c r="B7">
        <v>1</v>
      </c>
      <c r="C7" t="s">
        <v>235</v>
      </c>
      <c r="E7">
        <v>1</v>
      </c>
      <c r="F7" t="s">
        <v>794</v>
      </c>
      <c r="H7">
        <v>1</v>
      </c>
      <c r="I7" t="s">
        <v>169</v>
      </c>
      <c r="K7">
        <v>1</v>
      </c>
      <c r="L7" t="s">
        <v>682</v>
      </c>
      <c r="N7">
        <v>1</v>
      </c>
      <c r="O7" t="s">
        <v>102</v>
      </c>
      <c r="Q7">
        <v>1</v>
      </c>
      <c r="R7" t="s">
        <v>804</v>
      </c>
      <c r="T7">
        <v>1</v>
      </c>
      <c r="U7" s="35" t="s">
        <v>760</v>
      </c>
    </row>
    <row r="8" spans="2:21" x14ac:dyDescent="0.25">
      <c r="B8">
        <v>1</v>
      </c>
      <c r="C8" t="s">
        <v>275</v>
      </c>
      <c r="E8">
        <v>1</v>
      </c>
      <c r="F8" t="s">
        <v>239</v>
      </c>
      <c r="H8">
        <v>1</v>
      </c>
      <c r="I8" t="s">
        <v>170</v>
      </c>
      <c r="K8">
        <v>1</v>
      </c>
      <c r="L8" t="s">
        <v>683</v>
      </c>
      <c r="N8">
        <v>1</v>
      </c>
      <c r="O8" t="s">
        <v>647</v>
      </c>
      <c r="Q8">
        <v>3</v>
      </c>
      <c r="R8" t="s">
        <v>176</v>
      </c>
      <c r="T8">
        <v>1</v>
      </c>
      <c r="U8" t="s">
        <v>758</v>
      </c>
    </row>
    <row r="9" spans="2:21" x14ac:dyDescent="0.25">
      <c r="B9">
        <v>4</v>
      </c>
      <c r="C9" t="s">
        <v>684</v>
      </c>
      <c r="E9">
        <v>1</v>
      </c>
      <c r="F9" t="s">
        <v>282</v>
      </c>
      <c r="H9">
        <v>4</v>
      </c>
      <c r="I9" t="s">
        <v>291</v>
      </c>
      <c r="K9">
        <v>1</v>
      </c>
      <c r="L9" t="s">
        <v>515</v>
      </c>
      <c r="N9">
        <v>1</v>
      </c>
      <c r="O9" t="s">
        <v>293</v>
      </c>
      <c r="Q9">
        <v>7</v>
      </c>
      <c r="R9" t="s">
        <v>753</v>
      </c>
      <c r="T9">
        <v>1</v>
      </c>
      <c r="U9" t="s">
        <v>759</v>
      </c>
    </row>
    <row r="10" spans="2:21" x14ac:dyDescent="0.25">
      <c r="B10">
        <v>6</v>
      </c>
      <c r="C10" t="s">
        <v>685</v>
      </c>
      <c r="E10">
        <v>5</v>
      </c>
      <c r="F10" t="s">
        <v>798</v>
      </c>
      <c r="H10">
        <v>7</v>
      </c>
      <c r="I10" t="s">
        <v>751</v>
      </c>
      <c r="K10">
        <v>5</v>
      </c>
      <c r="L10" t="s">
        <v>679</v>
      </c>
      <c r="N10">
        <v>5</v>
      </c>
      <c r="O10" t="s">
        <v>792</v>
      </c>
      <c r="Q10">
        <v>10</v>
      </c>
      <c r="R10" t="s">
        <v>179</v>
      </c>
      <c r="T10">
        <v>3</v>
      </c>
      <c r="U10" t="s">
        <v>177</v>
      </c>
    </row>
    <row r="11" spans="2:21" x14ac:dyDescent="0.25">
      <c r="B11">
        <v>8</v>
      </c>
      <c r="C11" t="s">
        <v>686</v>
      </c>
      <c r="E11">
        <v>10</v>
      </c>
      <c r="F11" t="s">
        <v>793</v>
      </c>
      <c r="H11">
        <v>10</v>
      </c>
      <c r="I11" t="s">
        <v>298</v>
      </c>
      <c r="K11">
        <v>9</v>
      </c>
      <c r="L11" t="s">
        <v>518</v>
      </c>
      <c r="N11">
        <v>10</v>
      </c>
      <c r="O11" t="s">
        <v>106</v>
      </c>
      <c r="Q11">
        <v>11</v>
      </c>
      <c r="R11" t="s">
        <v>713</v>
      </c>
      <c r="T11">
        <v>7</v>
      </c>
      <c r="U11" t="s">
        <v>110</v>
      </c>
    </row>
    <row r="12" spans="2:21" x14ac:dyDescent="0.25">
      <c r="B12">
        <v>9</v>
      </c>
      <c r="C12" t="s">
        <v>168</v>
      </c>
      <c r="E12">
        <v>12</v>
      </c>
      <c r="F12" s="35" t="s">
        <v>748</v>
      </c>
      <c r="H12">
        <v>15</v>
      </c>
      <c r="I12" t="s">
        <v>752</v>
      </c>
      <c r="K12">
        <v>11</v>
      </c>
      <c r="L12" t="s">
        <v>799</v>
      </c>
      <c r="N12">
        <v>12</v>
      </c>
      <c r="O12" t="s">
        <v>103</v>
      </c>
      <c r="Q12">
        <v>12</v>
      </c>
      <c r="R12" t="s">
        <v>754</v>
      </c>
      <c r="T12">
        <v>10</v>
      </c>
      <c r="U12" t="s">
        <v>193</v>
      </c>
    </row>
    <row r="13" spans="2:21" x14ac:dyDescent="0.25">
      <c r="B13">
        <v>10</v>
      </c>
      <c r="C13" t="s">
        <v>167</v>
      </c>
      <c r="E13">
        <v>17</v>
      </c>
      <c r="F13" t="s">
        <v>517</v>
      </c>
      <c r="H13">
        <v>15</v>
      </c>
      <c r="I13" t="s">
        <v>172</v>
      </c>
      <c r="K13">
        <v>14</v>
      </c>
      <c r="L13" t="s">
        <v>796</v>
      </c>
      <c r="N13">
        <v>12</v>
      </c>
      <c r="O13" t="s">
        <v>104</v>
      </c>
      <c r="Q13">
        <v>12</v>
      </c>
      <c r="R13" t="s">
        <v>755</v>
      </c>
      <c r="T13">
        <v>11</v>
      </c>
      <c r="U13" t="s">
        <v>112</v>
      </c>
    </row>
    <row r="14" spans="2:21" x14ac:dyDescent="0.25">
      <c r="B14">
        <v>13</v>
      </c>
      <c r="C14" t="s">
        <v>538</v>
      </c>
      <c r="E14">
        <v>18</v>
      </c>
      <c r="F14" t="s">
        <v>293</v>
      </c>
      <c r="H14">
        <v>19</v>
      </c>
      <c r="I14" t="s">
        <v>173</v>
      </c>
      <c r="K14">
        <v>16</v>
      </c>
      <c r="L14" t="s">
        <v>795</v>
      </c>
      <c r="N14">
        <v>15</v>
      </c>
      <c r="O14" t="s">
        <v>540</v>
      </c>
      <c r="Q14">
        <v>15</v>
      </c>
      <c r="R14" t="s">
        <v>111</v>
      </c>
      <c r="T14">
        <v>12</v>
      </c>
      <c r="U14" t="s">
        <v>299</v>
      </c>
    </row>
    <row r="15" spans="2:21" x14ac:dyDescent="0.25">
      <c r="B15">
        <v>14</v>
      </c>
      <c r="C15" t="s">
        <v>539</v>
      </c>
      <c r="E15">
        <v>19</v>
      </c>
      <c r="F15" t="s">
        <v>516</v>
      </c>
      <c r="H15">
        <v>20</v>
      </c>
      <c r="I15" t="s">
        <v>801</v>
      </c>
      <c r="K15">
        <v>18</v>
      </c>
      <c r="L15" t="s">
        <v>797</v>
      </c>
      <c r="N15">
        <v>18</v>
      </c>
      <c r="O15" t="s">
        <v>297</v>
      </c>
      <c r="Q15">
        <v>19</v>
      </c>
      <c r="R15" t="s">
        <v>114</v>
      </c>
      <c r="T15">
        <v>15</v>
      </c>
      <c r="U15" t="s">
        <v>645</v>
      </c>
    </row>
    <row r="16" spans="2:21" x14ac:dyDescent="0.25">
      <c r="B16">
        <v>15</v>
      </c>
      <c r="C16" t="s">
        <v>712</v>
      </c>
      <c r="E16">
        <v>20</v>
      </c>
      <c r="F16" t="s">
        <v>681</v>
      </c>
      <c r="H16">
        <v>20</v>
      </c>
      <c r="I16" t="s">
        <v>750</v>
      </c>
      <c r="K16">
        <v>21</v>
      </c>
      <c r="L16" t="s">
        <v>800</v>
      </c>
      <c r="N16">
        <v>20</v>
      </c>
      <c r="O16" t="s">
        <v>105</v>
      </c>
      <c r="Q16">
        <v>19</v>
      </c>
      <c r="R16" t="s">
        <v>113</v>
      </c>
      <c r="T16">
        <v>19</v>
      </c>
      <c r="U16" t="s">
        <v>648</v>
      </c>
    </row>
    <row r="17" spans="10:21" x14ac:dyDescent="0.25">
      <c r="K17">
        <v>22</v>
      </c>
      <c r="L17" t="s">
        <v>687</v>
      </c>
      <c r="N17">
        <v>20</v>
      </c>
      <c r="O17" t="s">
        <v>108</v>
      </c>
      <c r="Q17">
        <v>21</v>
      </c>
      <c r="R17" t="s">
        <v>301</v>
      </c>
      <c r="T17">
        <v>21</v>
      </c>
      <c r="U17" t="s">
        <v>300</v>
      </c>
    </row>
    <row r="18" spans="10:21" x14ac:dyDescent="0.25">
      <c r="K18">
        <v>25</v>
      </c>
      <c r="L18" t="s">
        <v>688</v>
      </c>
      <c r="N18">
        <v>25</v>
      </c>
      <c r="O18" t="s">
        <v>292</v>
      </c>
      <c r="Q18">
        <v>25</v>
      </c>
      <c r="R18" t="s">
        <v>115</v>
      </c>
      <c r="T18">
        <v>25</v>
      </c>
      <c r="U18" t="s">
        <v>109</v>
      </c>
    </row>
    <row r="22" spans="10:21" x14ac:dyDescent="0.25">
      <c r="J22" t="s">
        <v>294</v>
      </c>
    </row>
    <row r="23" spans="10:21" x14ac:dyDescent="0.25">
      <c r="J23" t="s">
        <v>295</v>
      </c>
    </row>
    <row r="24" spans="10:21" x14ac:dyDescent="0.25">
      <c r="J24" t="s">
        <v>302</v>
      </c>
    </row>
    <row r="25" spans="10:21" x14ac:dyDescent="0.25">
      <c r="J25" t="s">
        <v>756</v>
      </c>
    </row>
    <row r="26" spans="10:21" x14ac:dyDescent="0.25">
      <c r="J26" t="s">
        <v>642</v>
      </c>
    </row>
    <row r="27" spans="10:21" x14ac:dyDescent="0.25">
      <c r="J27" t="s">
        <v>643</v>
      </c>
    </row>
    <row r="28" spans="10:21" x14ac:dyDescent="0.25">
      <c r="J28" t="s">
        <v>757</v>
      </c>
    </row>
    <row r="29" spans="10:21" x14ac:dyDescent="0.25">
      <c r="J29" t="s">
        <v>304</v>
      </c>
    </row>
    <row r="30" spans="10:21" x14ac:dyDescent="0.25">
      <c r="J30" t="s">
        <v>303</v>
      </c>
    </row>
    <row r="31" spans="10:21" x14ac:dyDescent="0.25">
      <c r="J31" t="s">
        <v>644</v>
      </c>
    </row>
    <row r="32" spans="10:21" x14ac:dyDescent="0.25">
      <c r="J32" t="s">
        <v>646</v>
      </c>
    </row>
    <row r="33" spans="10:10" x14ac:dyDescent="0.25">
      <c r="J33" t="s">
        <v>541</v>
      </c>
    </row>
    <row r="34" spans="10:10" x14ac:dyDescent="0.25">
      <c r="J34" t="s">
        <v>649</v>
      </c>
    </row>
    <row r="35" spans="10:10" x14ac:dyDescent="0.25">
      <c r="J35" t="s">
        <v>650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2AB12-9402-4CC7-8FC6-8C82D480AA6B}">
  <dimension ref="B6:K30"/>
  <sheetViews>
    <sheetView workbookViewId="0">
      <selection activeCell="O19" sqref="O19"/>
    </sheetView>
  </sheetViews>
  <sheetFormatPr baseColWidth="10" defaultRowHeight="15" x14ac:dyDescent="0.25"/>
  <cols>
    <col min="2" max="2" width="4.5703125" customWidth="1"/>
    <col min="6" max="6" width="4.7109375" customWidth="1"/>
    <col min="7" max="7" width="12.28515625" customWidth="1"/>
    <col min="10" max="10" width="4.7109375" customWidth="1"/>
  </cols>
  <sheetData>
    <row r="6" spans="2:11" x14ac:dyDescent="0.25">
      <c r="C6" t="s">
        <v>52</v>
      </c>
      <c r="G6" t="s">
        <v>53</v>
      </c>
      <c r="K6" t="s">
        <v>51</v>
      </c>
    </row>
    <row r="7" spans="2:11" x14ac:dyDescent="0.25">
      <c r="B7">
        <v>1</v>
      </c>
      <c r="C7" t="s">
        <v>631</v>
      </c>
      <c r="F7">
        <v>1</v>
      </c>
      <c r="G7" t="s">
        <v>634</v>
      </c>
      <c r="J7">
        <v>1</v>
      </c>
      <c r="K7" t="s">
        <v>496</v>
      </c>
    </row>
    <row r="8" spans="2:11" x14ac:dyDescent="0.25">
      <c r="B8">
        <v>2</v>
      </c>
      <c r="C8" t="s">
        <v>620</v>
      </c>
      <c r="F8">
        <v>1</v>
      </c>
      <c r="G8" t="s">
        <v>633</v>
      </c>
      <c r="J8">
        <v>5</v>
      </c>
      <c r="K8" t="s">
        <v>448</v>
      </c>
    </row>
    <row r="9" spans="2:11" x14ac:dyDescent="0.25">
      <c r="B9">
        <v>5</v>
      </c>
      <c r="C9" t="s">
        <v>480</v>
      </c>
      <c r="F9">
        <v>3</v>
      </c>
      <c r="G9" t="s">
        <v>635</v>
      </c>
      <c r="J9">
        <v>7</v>
      </c>
      <c r="K9" t="s">
        <v>561</v>
      </c>
    </row>
    <row r="10" spans="2:11" x14ac:dyDescent="0.25">
      <c r="B10">
        <v>6</v>
      </c>
      <c r="C10" t="s">
        <v>632</v>
      </c>
      <c r="F10">
        <v>6</v>
      </c>
      <c r="G10" t="s">
        <v>627</v>
      </c>
      <c r="J10">
        <v>8</v>
      </c>
      <c r="K10" t="s">
        <v>485</v>
      </c>
    </row>
    <row r="11" spans="2:11" x14ac:dyDescent="0.25">
      <c r="B11">
        <v>7</v>
      </c>
      <c r="C11" t="s">
        <v>285</v>
      </c>
      <c r="F11">
        <v>7</v>
      </c>
      <c r="G11" t="s">
        <v>628</v>
      </c>
      <c r="J11">
        <v>11</v>
      </c>
      <c r="K11" t="s">
        <v>638</v>
      </c>
    </row>
    <row r="12" spans="2:11" x14ac:dyDescent="0.25">
      <c r="B12">
        <v>8</v>
      </c>
      <c r="C12" t="s">
        <v>625</v>
      </c>
      <c r="F12">
        <v>8</v>
      </c>
      <c r="G12" t="s">
        <v>780</v>
      </c>
      <c r="J12">
        <v>11</v>
      </c>
      <c r="K12" t="s">
        <v>637</v>
      </c>
    </row>
    <row r="13" spans="2:11" x14ac:dyDescent="0.25">
      <c r="B13">
        <v>11</v>
      </c>
      <c r="C13" t="s">
        <v>626</v>
      </c>
      <c r="F13">
        <v>12</v>
      </c>
      <c r="G13" t="s">
        <v>640</v>
      </c>
      <c r="J13">
        <v>13</v>
      </c>
      <c r="K13" t="s">
        <v>678</v>
      </c>
    </row>
    <row r="14" spans="2:11" x14ac:dyDescent="0.25">
      <c r="B14">
        <v>12</v>
      </c>
      <c r="C14" t="s">
        <v>479</v>
      </c>
      <c r="F14">
        <v>16</v>
      </c>
      <c r="G14" t="s">
        <v>641</v>
      </c>
      <c r="J14">
        <v>15</v>
      </c>
      <c r="K14" t="s">
        <v>726</v>
      </c>
    </row>
    <row r="15" spans="2:11" x14ac:dyDescent="0.25">
      <c r="B15">
        <v>15</v>
      </c>
      <c r="C15" t="s">
        <v>634</v>
      </c>
      <c r="F15">
        <v>19</v>
      </c>
      <c r="G15" t="s">
        <v>781</v>
      </c>
      <c r="J15">
        <v>18</v>
      </c>
      <c r="K15" t="s">
        <v>636</v>
      </c>
    </row>
    <row r="16" spans="2:11" x14ac:dyDescent="0.25">
      <c r="F16">
        <v>20</v>
      </c>
      <c r="G16" t="s">
        <v>496</v>
      </c>
      <c r="J16">
        <v>20</v>
      </c>
      <c r="K16" t="s">
        <v>629</v>
      </c>
    </row>
    <row r="17" spans="10:11" x14ac:dyDescent="0.25">
      <c r="J17">
        <v>20</v>
      </c>
      <c r="K17" t="s">
        <v>630</v>
      </c>
    </row>
    <row r="18" spans="10:11" x14ac:dyDescent="0.25">
      <c r="J18">
        <v>25</v>
      </c>
      <c r="K18" t="s">
        <v>619</v>
      </c>
    </row>
    <row r="27" spans="10:11" x14ac:dyDescent="0.25">
      <c r="K27" t="s">
        <v>621</v>
      </c>
    </row>
    <row r="28" spans="10:11" x14ac:dyDescent="0.25">
      <c r="K28" t="s">
        <v>623</v>
      </c>
    </row>
    <row r="29" spans="10:11" x14ac:dyDescent="0.25">
      <c r="K29" t="s">
        <v>622</v>
      </c>
    </row>
    <row r="30" spans="10:11" x14ac:dyDescent="0.25">
      <c r="K30" t="s">
        <v>639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513E-3CB6-4FA6-95F7-A2166134795C}">
  <dimension ref="B6:V33"/>
  <sheetViews>
    <sheetView workbookViewId="0">
      <selection activeCell="V15" sqref="V15"/>
    </sheetView>
  </sheetViews>
  <sheetFormatPr baseColWidth="10" defaultRowHeight="15" x14ac:dyDescent="0.25"/>
  <cols>
    <col min="2" max="2" width="4.5703125" customWidth="1"/>
    <col min="5" max="5" width="4.42578125" customWidth="1"/>
    <col min="8" max="8" width="4.85546875" customWidth="1"/>
    <col min="9" max="9" width="15" customWidth="1"/>
    <col min="11" max="11" width="4.7109375" customWidth="1"/>
    <col min="14" max="14" width="5" customWidth="1"/>
    <col min="17" max="17" width="4.7109375" customWidth="1"/>
    <col min="20" max="20" width="17.140625" customWidth="1"/>
    <col min="21" max="21" width="4" customWidth="1"/>
  </cols>
  <sheetData>
    <row r="6" spans="2:22" x14ac:dyDescent="0.25">
      <c r="C6" t="s">
        <v>60</v>
      </c>
      <c r="F6" t="s">
        <v>63</v>
      </c>
      <c r="I6" t="s">
        <v>511</v>
      </c>
      <c r="L6" t="s">
        <v>54</v>
      </c>
      <c r="O6" t="s">
        <v>55</v>
      </c>
      <c r="R6" t="s">
        <v>531</v>
      </c>
      <c r="V6" t="s">
        <v>66</v>
      </c>
    </row>
    <row r="7" spans="2:22" x14ac:dyDescent="0.25">
      <c r="B7">
        <v>1</v>
      </c>
      <c r="C7" t="s">
        <v>567</v>
      </c>
      <c r="E7">
        <v>1</v>
      </c>
      <c r="F7" t="s">
        <v>281</v>
      </c>
      <c r="H7">
        <v>1</v>
      </c>
      <c r="I7" t="s">
        <v>530</v>
      </c>
      <c r="K7">
        <v>1</v>
      </c>
      <c r="L7" t="s">
        <v>533</v>
      </c>
      <c r="N7">
        <v>1</v>
      </c>
      <c r="O7" t="s">
        <v>537</v>
      </c>
      <c r="Q7">
        <v>1</v>
      </c>
      <c r="R7" t="s">
        <v>532</v>
      </c>
      <c r="U7">
        <v>1</v>
      </c>
      <c r="V7" t="s">
        <v>708</v>
      </c>
    </row>
    <row r="8" spans="2:22" x14ac:dyDescent="0.25">
      <c r="B8">
        <v>3</v>
      </c>
      <c r="C8" t="s">
        <v>582</v>
      </c>
      <c r="E8">
        <v>4</v>
      </c>
      <c r="F8" t="s">
        <v>277</v>
      </c>
      <c r="H8">
        <v>1</v>
      </c>
      <c r="I8" t="s">
        <v>563</v>
      </c>
      <c r="K8">
        <v>1</v>
      </c>
      <c r="L8" t="s">
        <v>534</v>
      </c>
      <c r="N8">
        <v>1</v>
      </c>
      <c r="O8" t="s">
        <v>342</v>
      </c>
      <c r="Q8">
        <v>3</v>
      </c>
      <c r="R8" t="s">
        <v>705</v>
      </c>
      <c r="U8">
        <v>2</v>
      </c>
      <c r="V8" t="s">
        <v>700</v>
      </c>
    </row>
    <row r="9" spans="2:22" x14ac:dyDescent="0.25">
      <c r="B9">
        <v>5</v>
      </c>
      <c r="C9" t="s">
        <v>695</v>
      </c>
      <c r="E9">
        <v>4</v>
      </c>
      <c r="F9" t="s">
        <v>566</v>
      </c>
      <c r="H9">
        <v>4</v>
      </c>
      <c r="I9" t="s">
        <v>281</v>
      </c>
      <c r="K9">
        <v>5</v>
      </c>
      <c r="L9" t="s">
        <v>83</v>
      </c>
      <c r="N9">
        <v>5</v>
      </c>
      <c r="O9" t="s">
        <v>84</v>
      </c>
      <c r="Q9">
        <v>5</v>
      </c>
      <c r="R9" t="s">
        <v>526</v>
      </c>
      <c r="U9">
        <v>2</v>
      </c>
      <c r="V9" t="s">
        <v>696</v>
      </c>
    </row>
    <row r="10" spans="2:22" x14ac:dyDescent="0.25">
      <c r="B10">
        <v>6</v>
      </c>
      <c r="C10" t="s">
        <v>527</v>
      </c>
      <c r="E10">
        <v>6</v>
      </c>
      <c r="F10" t="s">
        <v>591</v>
      </c>
      <c r="H10">
        <v>5</v>
      </c>
      <c r="I10" t="s">
        <v>492</v>
      </c>
      <c r="K10">
        <v>8</v>
      </c>
      <c r="L10" t="s">
        <v>593</v>
      </c>
      <c r="N10">
        <v>8</v>
      </c>
      <c r="O10" t="s">
        <v>558</v>
      </c>
      <c r="Q10">
        <v>8</v>
      </c>
      <c r="R10" t="s">
        <v>493</v>
      </c>
      <c r="U10">
        <v>6</v>
      </c>
      <c r="V10" t="s">
        <v>706</v>
      </c>
    </row>
    <row r="11" spans="2:22" x14ac:dyDescent="0.25">
      <c r="B11">
        <v>8</v>
      </c>
      <c r="C11" t="s">
        <v>568</v>
      </c>
      <c r="E11">
        <v>8</v>
      </c>
      <c r="F11" t="s">
        <v>569</v>
      </c>
      <c r="H11">
        <v>7</v>
      </c>
      <c r="I11" t="s">
        <v>321</v>
      </c>
      <c r="K11">
        <v>10</v>
      </c>
      <c r="L11" t="s">
        <v>87</v>
      </c>
      <c r="N11">
        <v>10</v>
      </c>
      <c r="O11" t="s">
        <v>88</v>
      </c>
      <c r="Q11">
        <v>10</v>
      </c>
      <c r="R11" t="s">
        <v>524</v>
      </c>
      <c r="U11">
        <v>7</v>
      </c>
      <c r="V11" t="s">
        <v>714</v>
      </c>
    </row>
    <row r="12" spans="2:22" x14ac:dyDescent="0.25">
      <c r="B12">
        <v>10</v>
      </c>
      <c r="C12" t="s">
        <v>701</v>
      </c>
      <c r="E12">
        <v>11</v>
      </c>
      <c r="F12" t="s">
        <v>584</v>
      </c>
      <c r="H12">
        <v>8</v>
      </c>
      <c r="I12" t="s">
        <v>525</v>
      </c>
      <c r="K12">
        <v>12</v>
      </c>
      <c r="L12" t="s">
        <v>519</v>
      </c>
      <c r="N12">
        <v>12</v>
      </c>
      <c r="O12" t="s">
        <v>529</v>
      </c>
      <c r="Q12">
        <v>12</v>
      </c>
      <c r="R12" t="s">
        <v>528</v>
      </c>
      <c r="U12">
        <v>8</v>
      </c>
      <c r="V12" t="s">
        <v>697</v>
      </c>
    </row>
    <row r="13" spans="2:22" x14ac:dyDescent="0.25">
      <c r="B13">
        <v>12</v>
      </c>
      <c r="C13" t="s">
        <v>566</v>
      </c>
      <c r="E13">
        <v>14</v>
      </c>
      <c r="F13" t="s">
        <v>586</v>
      </c>
      <c r="H13">
        <v>9</v>
      </c>
      <c r="I13" t="s">
        <v>718</v>
      </c>
      <c r="K13">
        <v>14</v>
      </c>
      <c r="L13" t="s">
        <v>587</v>
      </c>
      <c r="N13">
        <v>14</v>
      </c>
      <c r="O13" t="s">
        <v>573</v>
      </c>
      <c r="Q13">
        <v>14</v>
      </c>
      <c r="R13" t="s">
        <v>790</v>
      </c>
      <c r="U13">
        <v>9</v>
      </c>
      <c r="V13" t="s">
        <v>787</v>
      </c>
    </row>
    <row r="14" spans="2:22" x14ac:dyDescent="0.25">
      <c r="B14">
        <v>14</v>
      </c>
      <c r="C14" t="s">
        <v>716</v>
      </c>
      <c r="E14">
        <v>16</v>
      </c>
      <c r="F14" t="s">
        <v>283</v>
      </c>
      <c r="H14">
        <v>11</v>
      </c>
      <c r="I14" t="s">
        <v>494</v>
      </c>
      <c r="K14">
        <v>15</v>
      </c>
      <c r="L14" t="s">
        <v>89</v>
      </c>
      <c r="N14">
        <v>15</v>
      </c>
      <c r="O14" t="s">
        <v>90</v>
      </c>
      <c r="Q14">
        <v>15</v>
      </c>
      <c r="R14" t="s">
        <v>520</v>
      </c>
      <c r="U14">
        <v>14</v>
      </c>
      <c r="V14" t="s">
        <v>710</v>
      </c>
    </row>
    <row r="15" spans="2:22" x14ac:dyDescent="0.25">
      <c r="B15">
        <v>15</v>
      </c>
      <c r="C15" t="s">
        <v>588</v>
      </c>
      <c r="E15">
        <v>18</v>
      </c>
      <c r="F15" t="s">
        <v>702</v>
      </c>
      <c r="H15">
        <v>16</v>
      </c>
      <c r="I15" t="s">
        <v>699</v>
      </c>
      <c r="K15">
        <v>20</v>
      </c>
      <c r="L15" t="s">
        <v>535</v>
      </c>
      <c r="N15">
        <v>16</v>
      </c>
      <c r="O15" t="s">
        <v>557</v>
      </c>
      <c r="Q15">
        <v>16</v>
      </c>
      <c r="R15" t="s">
        <v>709</v>
      </c>
      <c r="U15">
        <v>17</v>
      </c>
      <c r="V15" t="s">
        <v>592</v>
      </c>
    </row>
    <row r="16" spans="2:22" x14ac:dyDescent="0.25">
      <c r="E16">
        <v>20</v>
      </c>
      <c r="F16" t="s">
        <v>498</v>
      </c>
      <c r="H16">
        <v>20</v>
      </c>
      <c r="I16" t="s">
        <v>555</v>
      </c>
      <c r="K16">
        <v>20</v>
      </c>
      <c r="L16" t="s">
        <v>536</v>
      </c>
      <c r="N16">
        <v>20</v>
      </c>
      <c r="O16" t="s">
        <v>617</v>
      </c>
      <c r="Q16">
        <v>20</v>
      </c>
      <c r="R16" t="s">
        <v>590</v>
      </c>
      <c r="U16">
        <v>20</v>
      </c>
      <c r="V16" t="s">
        <v>698</v>
      </c>
    </row>
    <row r="17" spans="11:22" x14ac:dyDescent="0.25">
      <c r="K17">
        <v>24</v>
      </c>
      <c r="L17" t="s">
        <v>521</v>
      </c>
      <c r="N17">
        <v>23</v>
      </c>
      <c r="O17" t="s">
        <v>570</v>
      </c>
      <c r="Q17">
        <v>24</v>
      </c>
      <c r="R17" t="s">
        <v>522</v>
      </c>
      <c r="U17">
        <v>24</v>
      </c>
      <c r="V17" t="s">
        <v>707</v>
      </c>
    </row>
    <row r="18" spans="11:22" x14ac:dyDescent="0.25">
      <c r="K18">
        <v>25</v>
      </c>
      <c r="L18" t="s">
        <v>589</v>
      </c>
      <c r="N18">
        <v>25</v>
      </c>
      <c r="O18" t="s">
        <v>729</v>
      </c>
      <c r="Q18">
        <v>25</v>
      </c>
      <c r="R18" t="s">
        <v>594</v>
      </c>
      <c r="U18">
        <v>25</v>
      </c>
      <c r="V18" t="s">
        <v>715</v>
      </c>
    </row>
    <row r="22" spans="11:22" x14ac:dyDescent="0.25">
      <c r="L22" t="s">
        <v>730</v>
      </c>
    </row>
    <row r="23" spans="11:22" x14ac:dyDescent="0.25">
      <c r="L23" t="s">
        <v>717</v>
      </c>
    </row>
    <row r="24" spans="11:22" x14ac:dyDescent="0.25">
      <c r="L24" t="s">
        <v>719</v>
      </c>
    </row>
    <row r="25" spans="11:22" x14ac:dyDescent="0.25">
      <c r="L25" t="s">
        <v>583</v>
      </c>
    </row>
    <row r="26" spans="11:22" x14ac:dyDescent="0.25">
      <c r="L26" t="s">
        <v>585</v>
      </c>
    </row>
    <row r="27" spans="11:22" x14ac:dyDescent="0.25">
      <c r="L27" t="s">
        <v>618</v>
      </c>
    </row>
    <row r="28" spans="11:22" x14ac:dyDescent="0.25">
      <c r="L28" t="s">
        <v>779</v>
      </c>
    </row>
    <row r="29" spans="11:22" x14ac:dyDescent="0.25">
      <c r="L29" t="s">
        <v>624</v>
      </c>
    </row>
    <row r="30" spans="11:22" x14ac:dyDescent="0.25">
      <c r="L30" t="s">
        <v>782</v>
      </c>
    </row>
    <row r="33" spans="13:13" x14ac:dyDescent="0.25">
      <c r="M33" t="s">
        <v>711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346C1-5FD7-40A7-AD37-41379A96AA3E}">
  <dimension ref="B6:L26"/>
  <sheetViews>
    <sheetView workbookViewId="0">
      <selection activeCell="F22" sqref="F22"/>
    </sheetView>
  </sheetViews>
  <sheetFormatPr baseColWidth="10" defaultRowHeight="15" x14ac:dyDescent="0.25"/>
  <cols>
    <col min="2" max="2" width="4.42578125" customWidth="1"/>
    <col min="5" max="5" width="4.85546875" customWidth="1"/>
    <col min="7" max="7" width="13.5703125" customWidth="1"/>
    <col min="8" max="8" width="4.42578125" customWidth="1"/>
    <col min="10" max="10" width="14.7109375" customWidth="1"/>
    <col min="11" max="11" width="4.28515625" customWidth="1"/>
  </cols>
  <sheetData>
    <row r="6" spans="2:12" x14ac:dyDescent="0.25">
      <c r="C6" t="s">
        <v>64</v>
      </c>
      <c r="F6" t="s">
        <v>59</v>
      </c>
      <c r="I6" t="s">
        <v>58</v>
      </c>
      <c r="L6" t="s">
        <v>61</v>
      </c>
    </row>
    <row r="7" spans="2:12" x14ac:dyDescent="0.25">
      <c r="B7">
        <v>1</v>
      </c>
      <c r="C7" t="s">
        <v>309</v>
      </c>
      <c r="E7">
        <v>1</v>
      </c>
      <c r="F7" t="s">
        <v>545</v>
      </c>
      <c r="H7">
        <v>1</v>
      </c>
      <c r="I7" t="s">
        <v>577</v>
      </c>
      <c r="K7">
        <v>1</v>
      </c>
      <c r="L7" t="s">
        <v>548</v>
      </c>
    </row>
    <row r="8" spans="2:12" x14ac:dyDescent="0.25">
      <c r="B8">
        <v>1</v>
      </c>
      <c r="C8" t="s">
        <v>631</v>
      </c>
      <c r="E8">
        <v>2</v>
      </c>
      <c r="F8" s="35" t="s">
        <v>745</v>
      </c>
      <c r="H8">
        <v>2</v>
      </c>
      <c r="I8" t="s">
        <v>655</v>
      </c>
      <c r="K8">
        <v>1</v>
      </c>
      <c r="L8" t="s">
        <v>581</v>
      </c>
    </row>
    <row r="9" spans="2:12" x14ac:dyDescent="0.25">
      <c r="B9">
        <v>2</v>
      </c>
      <c r="C9" t="s">
        <v>810</v>
      </c>
      <c r="E9">
        <v>3</v>
      </c>
      <c r="F9" t="s">
        <v>651</v>
      </c>
      <c r="H9">
        <v>5</v>
      </c>
      <c r="I9" t="s">
        <v>77</v>
      </c>
      <c r="K9">
        <v>3</v>
      </c>
      <c r="L9" t="s">
        <v>664</v>
      </c>
    </row>
    <row r="10" spans="2:12" x14ac:dyDescent="0.25">
      <c r="B10">
        <v>3</v>
      </c>
      <c r="C10" t="s">
        <v>632</v>
      </c>
      <c r="E10">
        <v>4</v>
      </c>
      <c r="F10" t="s">
        <v>323</v>
      </c>
      <c r="H10">
        <v>8</v>
      </c>
      <c r="I10" t="s">
        <v>652</v>
      </c>
      <c r="K10">
        <v>4</v>
      </c>
      <c r="L10" t="s">
        <v>660</v>
      </c>
    </row>
    <row r="11" spans="2:12" x14ac:dyDescent="0.25">
      <c r="B11">
        <v>4</v>
      </c>
      <c r="C11" t="s">
        <v>808</v>
      </c>
      <c r="E11">
        <v>8</v>
      </c>
      <c r="F11" t="s">
        <v>807</v>
      </c>
      <c r="H11">
        <v>10</v>
      </c>
      <c r="I11" t="s">
        <v>80</v>
      </c>
      <c r="K11">
        <v>5</v>
      </c>
      <c r="L11" t="s">
        <v>739</v>
      </c>
    </row>
    <row r="12" spans="2:12" x14ac:dyDescent="0.25">
      <c r="B12">
        <v>11</v>
      </c>
      <c r="C12" t="s">
        <v>322</v>
      </c>
      <c r="E12">
        <v>12</v>
      </c>
      <c r="F12" t="s">
        <v>654</v>
      </c>
      <c r="H12">
        <v>11</v>
      </c>
      <c r="I12" t="s">
        <v>791</v>
      </c>
      <c r="K12">
        <v>8</v>
      </c>
      <c r="L12" t="s">
        <v>544</v>
      </c>
    </row>
    <row r="13" spans="2:12" x14ac:dyDescent="0.25">
      <c r="B13">
        <v>12</v>
      </c>
      <c r="C13" t="s">
        <v>811</v>
      </c>
      <c r="E13">
        <v>13</v>
      </c>
      <c r="F13" t="s">
        <v>321</v>
      </c>
      <c r="H13">
        <v>14</v>
      </c>
      <c r="I13" t="s">
        <v>656</v>
      </c>
      <c r="K13">
        <v>10</v>
      </c>
      <c r="L13" t="s">
        <v>580</v>
      </c>
    </row>
    <row r="14" spans="2:12" x14ac:dyDescent="0.25">
      <c r="B14">
        <v>13</v>
      </c>
      <c r="C14" t="s">
        <v>809</v>
      </c>
      <c r="E14">
        <v>16</v>
      </c>
      <c r="F14" t="s">
        <v>653</v>
      </c>
      <c r="H14">
        <v>15</v>
      </c>
      <c r="I14" t="s">
        <v>82</v>
      </c>
      <c r="K14">
        <v>15</v>
      </c>
      <c r="L14" t="s">
        <v>662</v>
      </c>
    </row>
    <row r="15" spans="2:12" x14ac:dyDescent="0.25">
      <c r="B15">
        <v>14</v>
      </c>
      <c r="C15" t="s">
        <v>233</v>
      </c>
      <c r="E15">
        <v>17</v>
      </c>
      <c r="F15" t="s">
        <v>237</v>
      </c>
      <c r="H15">
        <v>17</v>
      </c>
      <c r="I15" t="s">
        <v>657</v>
      </c>
      <c r="K15">
        <v>18</v>
      </c>
      <c r="L15" t="s">
        <v>661</v>
      </c>
    </row>
    <row r="16" spans="2:12" x14ac:dyDescent="0.25">
      <c r="B16">
        <v>15</v>
      </c>
      <c r="C16" s="35" t="s">
        <v>749</v>
      </c>
      <c r="E16">
        <v>20</v>
      </c>
      <c r="F16" t="s">
        <v>659</v>
      </c>
      <c r="H16">
        <v>20</v>
      </c>
      <c r="I16" t="s">
        <v>579</v>
      </c>
      <c r="K16">
        <v>20</v>
      </c>
      <c r="L16" t="s">
        <v>786</v>
      </c>
    </row>
    <row r="17" spans="8:12" x14ac:dyDescent="0.25">
      <c r="H17">
        <v>23</v>
      </c>
      <c r="I17" t="s">
        <v>542</v>
      </c>
      <c r="K17">
        <v>21</v>
      </c>
      <c r="L17" t="s">
        <v>663</v>
      </c>
    </row>
    <row r="18" spans="8:12" x14ac:dyDescent="0.25">
      <c r="H18">
        <v>25</v>
      </c>
      <c r="I18" t="s">
        <v>578</v>
      </c>
      <c r="K18">
        <v>25</v>
      </c>
      <c r="L18" t="s">
        <v>543</v>
      </c>
    </row>
    <row r="22" spans="8:12" x14ac:dyDescent="0.25">
      <c r="I22" t="s">
        <v>546</v>
      </c>
    </row>
    <row r="23" spans="8:12" x14ac:dyDescent="0.25">
      <c r="I23" t="s">
        <v>547</v>
      </c>
    </row>
    <row r="24" spans="8:12" x14ac:dyDescent="0.25">
      <c r="I24" t="s">
        <v>658</v>
      </c>
    </row>
    <row r="25" spans="8:12" x14ac:dyDescent="0.25">
      <c r="I25" t="s">
        <v>549</v>
      </c>
    </row>
    <row r="26" spans="8:12" x14ac:dyDescent="0.25">
      <c r="I26" t="s">
        <v>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RESUMEN</vt:lpstr>
      <vt:lpstr>BONUS</vt:lpstr>
      <vt:lpstr>ARMAS</vt:lpstr>
      <vt:lpstr>NOTAS</vt:lpstr>
      <vt:lpstr>mago</vt:lpstr>
      <vt:lpstr>brujo</vt:lpstr>
      <vt:lpstr>sanador</vt:lpstr>
      <vt:lpstr>ladrón</vt:lpstr>
      <vt:lpstr>guerrero</vt:lpstr>
      <vt:lpstr>luchador</vt:lpstr>
      <vt:lpstr>paladín</vt:lpstr>
      <vt:lpstr>druida</vt:lpstr>
      <vt:lpstr>capitán</vt:lpstr>
      <vt:lpstr>artista</vt:lpstr>
      <vt:lpstr>explorador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Sergius</cp:lastModifiedBy>
  <dcterms:created xsi:type="dcterms:W3CDTF">2015-06-05T18:19:34Z</dcterms:created>
  <dcterms:modified xsi:type="dcterms:W3CDTF">2026-08-02T01:15:51Z</dcterms:modified>
</cp:coreProperties>
</file>